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In Progress</t>
        </is>
      </c>
      <c r="F5" s="12" t="inlineStr">
        <is>
          <t>High</t>
        </is>
      </c>
      <c r="G5" s="12" t="str"/>
      <c r="H5" s="30" t="n"/>
      <c r="I5" s="12" t="inlineStr">
        <is>
          <t>Corrected 2026-08-13: was marked Completed, but reliable full-path trace evidence does not currently exist. A real deployed investigation (run_20260813_045745_ainm) produced no exported Cloud Trace span at all; this project's entire Cloud Trace history has only 2 old traces (2026-08-09), one span each. Structured logs + GCS evidence capture ARE working (verified repeatedly this session), but "logs and traces" together, as this task states, is not yet true. Tracked by GitHub #130 / tracker ID 62.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Cloud Trace export restored and verified end-to-end</t>
        </is>
      </c>
      <c r="E63" s="12" t="inlineStr">
        <is>
          <t>Completed</t>
        </is>
      </c>
      <c r="F63" s="12" t="inlineStr">
        <is>
          <t>High</t>
        </is>
      </c>
      <c r="G63" s="12" t="str"/>
      <c r="H63" s="30" t="n"/>
      <c r="I63" s="12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assistance needed -- a single consolidated support case (covering this and any other open vendor questions) is being prepared, not yet submitted. Status will move to "Waiting on Google Support" once a real case ID exists.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140">
      <c r="A140" t="n">
        <v>139</v>
      </c>
      <c r="B140" t="inlineStr">
        <is>
          <t>Phase 1</t>
        </is>
      </c>
      <c r="C140" t="inlineStr">
        <is>
          <t>Production Readiness</t>
        </is>
      </c>
      <c r="D140" t="inlineStr">
        <is>
          <t>Issue #64: google_billing_budget shown in architecture docs is not provisioned in Terraform</t>
        </is>
      </c>
      <c r="E140" t="inlineStr">
        <is>
          <t>Completed</t>
        </is>
      </c>
      <c r="F140" t="inlineStr">
        <is>
          <t>Low</t>
        </is>
      </c>
      <c r="I140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141">
      <c r="A141" t="n">
        <v>140</v>
      </c>
      <c r="B141" t="inlineStr">
        <is>
          <t>Phase 1</t>
        </is>
      </c>
      <c r="C141" t="inlineStr">
        <is>
          <t>Production Readiness</t>
        </is>
      </c>
      <c r="D141" t="inlineStr">
        <is>
          <t>Issue #92: Agent has no pod-log-read permission on the target GKE cluster -- logs unavailable for every incident</t>
        </is>
      </c>
      <c r="E141" t="inlineStr">
        <is>
          <t>Completed</t>
        </is>
      </c>
      <c r="F141" t="inlineStr">
        <is>
          <t>P0-quick-fix</t>
        </is>
      </c>
      <c r="I141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142">
      <c r="A142" t="n">
        <v>141</v>
      </c>
      <c r="B142" t="inlineStr">
        <is>
          <t>Phase 1</t>
        </is>
      </c>
      <c r="C142" t="inlineStr">
        <is>
          <t>Production Readiness</t>
        </is>
      </c>
      <c r="D142" t="inlineStr">
        <is>
          <t>Issue #67: resource_identity_match only checks cluster, ignoring namespace and pod</t>
        </is>
      </c>
      <c r="E142" t="inlineStr">
        <is>
          <t>Completed</t>
        </is>
      </c>
      <c r="F142" t="inlineStr">
        <is>
          <t>P1-small-fix</t>
        </is>
      </c>
      <c r="I142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143">
      <c r="A143" t="n">
        <v>142</v>
      </c>
      <c r="B143" t="inlineStr">
        <is>
          <t>Phase 1</t>
        </is>
      </c>
      <c r="C143" t="inlineStr">
        <is>
          <t>Production Readiness</t>
        </is>
      </c>
      <c r="D143" t="inlineStr">
        <is>
          <t>Issue #68: time_correlation and freshness scoring do not evaluate real evidence timestamps</t>
        </is>
      </c>
      <c r="E143" t="inlineStr">
        <is>
          <t>Completed</t>
        </is>
      </c>
      <c r="F143" t="inlineStr">
        <is>
          <t>P1-small-fix</t>
        </is>
      </c>
      <c r="I143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144">
      <c r="A144" t="n">
        <v>143</v>
      </c>
      <c r="B144" t="inlineStr">
        <is>
          <t>Phase 1</t>
        </is>
      </c>
      <c r="C144" t="inlineStr">
        <is>
          <t>Production Readiness</t>
        </is>
      </c>
      <c r="D144" t="inlineStr">
        <is>
          <t>Issue #69: investigation loop can exit while required evidence domains are still missing</t>
        </is>
      </c>
      <c r="E144" t="inlineStr">
        <is>
          <t>Completed</t>
        </is>
      </c>
      <c r="F144" t="inlineStr">
        <is>
          <t>P1-small-fix</t>
        </is>
      </c>
      <c r="I144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145">
      <c r="A145" t="n">
        <v>144</v>
      </c>
      <c r="B145" t="inlineStr">
        <is>
          <t>Phase 1</t>
        </is>
      </c>
      <c r="C145" t="inlineStr">
        <is>
          <t>Production Readiness</t>
        </is>
      </c>
      <c r="D145" t="inlineStr">
        <is>
          <t>Issue #70: agent does not act on its own generated next investigative step before concluding</t>
        </is>
      </c>
      <c r="E145" t="inlineStr">
        <is>
          <t>Completed</t>
        </is>
      </c>
      <c r="F145" t="inlineStr">
        <is>
          <t>P1-small-fix</t>
        </is>
      </c>
      <c r="I145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146">
      <c r="A146" t="n">
        <v>145</v>
      </c>
      <c r="B146" t="inlineStr">
        <is>
          <t>Phase 1</t>
        </is>
      </c>
      <c r="C146" t="inlineStr">
        <is>
          <t>Production Readiness</t>
        </is>
      </c>
      <c r="D146" t="inlineStr">
        <is>
          <t>Issue #71: MCP fallback audit trail records the requested tool, not what actually executed</t>
        </is>
      </c>
      <c r="E146" t="inlineStr">
        <is>
          <t>Completed</t>
        </is>
      </c>
      <c r="F146" t="inlineStr">
        <is>
          <t>P1-small-fix</t>
        </is>
      </c>
      <c r="I146" t="inlineStr">
        <is>
          <t>Fixed 2026-08-12 (PR #125). tool_history/latest_tool_result now record call_tool()'s actual executed tool/mcp_source, not the pre-call request. 3 new regression tests.</t>
        </is>
      </c>
    </row>
    <row r="147">
      <c r="A147" t="n">
        <v>146</v>
      </c>
      <c r="B147" t="inlineStr">
        <is>
          <t>Phase 1</t>
        </is>
      </c>
      <c r="C147" t="inlineStr">
        <is>
          <t>Production Readiness</t>
        </is>
      </c>
      <c r="D147" t="inlineStr">
        <is>
          <t>Issue #72: MCP fallback does not trigger on network errors and has an invalid tool mapping</t>
        </is>
      </c>
      <c r="E147" t="inlineStr">
        <is>
          <t>Completed</t>
        </is>
      </c>
      <c r="F147" t="inlineStr">
        <is>
          <t>P1-small-fix</t>
        </is>
      </c>
      <c r="I147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148">
      <c r="A148" t="n">
        <v>147</v>
      </c>
      <c r="B148" t="inlineStr">
        <is>
          <t>Phase 1</t>
        </is>
      </c>
      <c r="C148" t="inlineStr">
        <is>
          <t>Production Readiness</t>
        </is>
      </c>
      <c r="D148" t="inlineStr">
        <is>
          <t>Issue #74: Gemini token/cost/latency counters are process-global, not scoped per investigation</t>
        </is>
      </c>
      <c r="E148" t="inlineStr">
        <is>
          <t>Completed</t>
        </is>
      </c>
      <c r="F148" t="inlineStr">
        <is>
          <t>P1-small-fix</t>
        </is>
      </c>
      <c r="I148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149">
      <c r="A149" t="n">
        <v>148</v>
      </c>
      <c r="B149" t="inlineStr">
        <is>
          <t>Phase 1</t>
        </is>
      </c>
      <c r="C149" t="inlineStr">
        <is>
          <t>Production Readiness</t>
        </is>
      </c>
      <c r="D149" t="inlineStr">
        <is>
          <t>Issue #75: Duplicate completion log events not scoped by logName can double-count metrics</t>
        </is>
      </c>
      <c r="E149" t="inlineStr">
        <is>
          <t>Completed</t>
        </is>
      </c>
      <c r="F149" t="inlineStr">
        <is>
          <t>P1-small-fix</t>
        </is>
      </c>
      <c r="I149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150">
      <c r="A150" t="n">
        <v>149</v>
      </c>
      <c r="B150" t="inlineStr">
        <is>
          <t>Phase 1</t>
        </is>
      </c>
      <c r="C150" t="inlineStr">
        <is>
          <t>Production Readiness</t>
        </is>
      </c>
      <c r="D150" t="inlineStr">
        <is>
          <t>Issue #76: Full prompt/response content capture enabled in tracing at 100% sample rate</t>
        </is>
      </c>
      <c r="E150" t="inlineStr">
        <is>
          <t>Completed</t>
        </is>
      </c>
      <c r="F150" t="inlineStr">
        <is>
          <t>P1-small-fix</t>
        </is>
      </c>
      <c r="I150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151">
      <c r="A151" t="n">
        <v>151</v>
      </c>
      <c r="B151" t="inlineStr">
        <is>
          <t>Phase 1</t>
        </is>
      </c>
      <c r="C151" t="inlineStr">
        <is>
          <t>Production Readiness</t>
        </is>
      </c>
      <c r="D151" t="inlineStr">
        <is>
          <t>Issue #91: Evidence-domain coverage credits failed tool calls as if they succeeded</t>
        </is>
      </c>
      <c r="E151" t="inlineStr">
        <is>
          <t>Completed</t>
        </is>
      </c>
      <c r="F151" t="inlineStr">
        <is>
          <t>P0-quick-fix</t>
        </is>
      </c>
      <c r="I151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152">
      <c r="A152" t="n">
        <v>152</v>
      </c>
      <c r="B152" t="inlineStr">
        <is>
          <t>Phase 6</t>
        </is>
      </c>
      <c r="C152" t="inlineStr">
        <is>
          <t>Observability &amp; Reliability</t>
        </is>
      </c>
      <c r="D152" t="inlineStr">
        <is>
          <t>Fix persistent Cloud Logging observability-write 403 (rca_builder.py)</t>
        </is>
      </c>
      <c r="E152" t="inlineStr">
        <is>
          <t>Not Started</t>
        </is>
      </c>
      <c r="F152" t="inlineStr">
        <is>
          <t>P2-medium-fix</t>
        </is>
      </c>
      <c r="I152" t="inlineStr">
        <is>
          <t>GitHub #139. rca_builder.py._write_observability_log() gRPC write to logging.googleapis.com still returns 403 even though logging/logging-mtls (global + regional) are correctly registered with protocolBinding=GRPC -- confirmed live, not a simple registration gap like #130 was. Root cause unconfirmed; open theories in the issue. Investigation results ARE unaffected -- a separate, always-working stdout-based observability path in agent/main.py already covers this. Completion requires: log_struct() succeeds with no 403 during a real deployed investigation.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Tracker'!D2:D10000)</f>
        <v/>
      </c>
      <c r="D5" t="inlineStr">
        <is>
          <t>Critical</t>
        </is>
      </c>
      <c r="E5">
        <f>COUNTIF('Project Tracker'!F2:F10000,"Critical")</f>
        <v/>
      </c>
    </row>
    <row r="6">
      <c r="A6" t="inlineStr">
        <is>
          <t>Completed</t>
        </is>
      </c>
      <c r="B6">
        <f>COUNTIF('Project Tracker'!E2:E10000,"Completed")</f>
        <v/>
      </c>
      <c r="D6" t="inlineStr">
        <is>
          <t>High</t>
        </is>
      </c>
      <c r="E6">
        <f>COUNTIF('Project Tracker'!F2:F10000,"High")</f>
        <v/>
      </c>
    </row>
    <row r="7">
      <c r="A7" t="inlineStr">
        <is>
          <t>In Progress</t>
        </is>
      </c>
      <c r="B7">
        <f>COUNTIF('Project Tracker'!E2:E10000,"In Progress")</f>
        <v/>
      </c>
      <c r="D7" t="inlineStr">
        <is>
          <t>Medium</t>
        </is>
      </c>
      <c r="E7">
        <f>COUNTIF('Project Tracker'!F2:F10000,"Medium")</f>
        <v/>
      </c>
    </row>
    <row r="8">
      <c r="A8" t="inlineStr">
        <is>
          <t>Blocked</t>
        </is>
      </c>
      <c r="B8">
        <f>COUNTIF('Project Tracker'!E2:E10000,"Blocked")</f>
        <v/>
      </c>
      <c r="D8" t="inlineStr">
        <is>
          <t>Low</t>
        </is>
      </c>
      <c r="E8">
        <f>COUNTIF('Project Tracker'!F2:F10000,"Low")</f>
        <v/>
      </c>
    </row>
    <row r="9">
      <c r="A9" t="inlineStr">
        <is>
          <t>Not Started</t>
        </is>
      </c>
      <c r="B9">
        <f>COUNTIF('Project Tracker'!E2:E10000,"Not Started")</f>
        <v/>
      </c>
      <c r="D9" t="inlineStr">
        <is>
          <t>Deferred</t>
        </is>
      </c>
      <c r="E9">
        <f>COUNTIF('Project Tracker'!E2:E10000,"Deferred")</f>
        <v/>
      </c>
    </row>
    <row r="10">
      <c r="A10" t="inlineStr">
        <is>
          <t>Waiting on Google Support</t>
        </is>
      </c>
      <c r="B10">
        <f>COUNTIF('Project Tracker'!E2:E10000,"Waiting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2026-08-14T02:53:23Z</dcterms:modified>
</cp:coreProperties>
</file>
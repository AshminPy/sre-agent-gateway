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Completed</t>
        </is>
      </c>
      <c r="F5" s="12" t="inlineStr">
        <is>
          <t>High</t>
        </is>
      </c>
      <c r="G5" s="12" t="str"/>
      <c r="H5" s="30" t="n"/>
      <c r="I5" s="12" t="inlineStr">
        <is>
          <t>Successful E2E evidence captured.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Agent → Gateway → MCP correlation needs verification.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Slice 1 implemented in PR #104. Default/max safety budget 200s. Local tests 9/9 and full suite 137/137 passed. PR not merged or deployed. Does not interrupt an already-running slow call; Slice 2 and controlled canary remain.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Controlled budgets remain.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7" showDropDown="0" showInputMessage="0" showErrorMessage="0" allowBlank="0" type="list">
      <formula1>"Completed,In Progress,Not Started,Blocked,Deferred"</formula1>
    </dataValidation>
    <dataValidation sqref="F2:F137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Tracker'!D2:D137)</f>
        <v/>
      </c>
      <c r="D5" t="inlineStr">
        <is>
          <t>Critical</t>
        </is>
      </c>
      <c r="E5">
        <f>COUNTIF('Project Tracker'!F2:F137,"Critical")</f>
        <v/>
      </c>
    </row>
    <row r="6">
      <c r="A6" t="inlineStr">
        <is>
          <t>Completed</t>
        </is>
      </c>
      <c r="B6">
        <f>COUNTIF('Project Tracker'!E2:E137,"Completed")</f>
        <v/>
      </c>
      <c r="D6" t="inlineStr">
        <is>
          <t>High</t>
        </is>
      </c>
      <c r="E6">
        <f>COUNTIF('Project Tracker'!F2:F137,"High")</f>
        <v/>
      </c>
    </row>
    <row r="7">
      <c r="A7" t="inlineStr">
        <is>
          <t>In Progress</t>
        </is>
      </c>
      <c r="B7">
        <f>COUNTIF('Project Tracker'!E2:E137,"In Progress")</f>
        <v/>
      </c>
      <c r="D7" t="inlineStr">
        <is>
          <t>Medium</t>
        </is>
      </c>
      <c r="E7">
        <f>COUNTIF('Project Tracker'!F2:F137,"Medium")</f>
        <v/>
      </c>
    </row>
    <row r="8">
      <c r="A8" t="inlineStr">
        <is>
          <t>Blocked</t>
        </is>
      </c>
      <c r="B8">
        <f>COUNTIF('Project Tracker'!E2:E137,"Blocked")</f>
        <v/>
      </c>
      <c r="D8" t="inlineStr">
        <is>
          <t>Low</t>
        </is>
      </c>
      <c r="E8">
        <f>COUNTIF('Project Tracker'!F2:F137,"Low")</f>
        <v/>
      </c>
    </row>
    <row r="9">
      <c r="A9" t="inlineStr">
        <is>
          <t>Not Started</t>
        </is>
      </c>
      <c r="B9">
        <f>COUNTIF('Project Tracker'!E2:E137,"Not Started")</f>
        <v/>
      </c>
      <c r="D9" t="inlineStr">
        <is>
          <t>Deferred</t>
        </is>
      </c>
      <c r="E9">
        <f>COUNTIF('Project Tracker'!E2:E137,"Deferred")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2026-08-12T10:14:18Z</dcterms:modified>
</cp:coreProperties>
</file>
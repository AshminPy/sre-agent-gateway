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In Progress</t>
        </is>
      </c>
      <c r="F5" s="12" t="inlineStr">
        <is>
          <t>High</t>
        </is>
      </c>
      <c r="G5" s="12" t="str"/>
      <c r="H5" s="30" t="n"/>
      <c r="I5" s="12" t="inlineStr">
        <is>
          <t>Corrected 2026-08-13: was marked Completed, but reliable full-path trace evidence does not currently exist. A real deployed investigation (run_20260813_045745_ainm) produced no exported Cloud Trace span at all; this project's entire Cloud Trace history has only 2 old traces (2026-08-09), one span each. Structured logs + GCS evidence capture ARE working (verified repeatedly this session), but "logs and traces" together, as this task states, is not yet true. Tracked by GitHub #130 / tracker ID 62.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Restore and 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Cloud Trace export is broken/unreliable; tracked by GitHub #130. Completion requires a deployed investigation with correlated outer, node and Gemini spans visible in Cloud Trace.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Completed</t>
        </is>
      </c>
      <c r="F150" t="inlineStr">
        <is>
          <t>P1-small-fix</t>
        </is>
      </c>
      <c r="I150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151">
      <c r="A151" t="n">
        <v>151</v>
      </c>
      <c r="B151" t="inlineStr">
        <is>
          <t>Phase 1</t>
        </is>
      </c>
      <c r="C151" t="inlineStr">
        <is>
          <t>Production Readiness</t>
        </is>
      </c>
      <c r="D151" t="inlineStr">
        <is>
          <t>Issue #91: Evidence-domain coverage credits failed tool calls as if they succeeded</t>
        </is>
      </c>
      <c r="E151" t="inlineStr">
        <is>
          <t>Completed</t>
        </is>
      </c>
      <c r="F151" t="inlineStr">
        <is>
          <t>P0-quick-fix</t>
        </is>
      </c>
      <c r="I151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Tracker'!D2:D10000)</f>
        <v/>
      </c>
      <c r="D5" t="inlineStr">
        <is>
          <t>Critical</t>
        </is>
      </c>
      <c r="E5">
        <f>COUNTIF('Project Tracker'!F2:F10000,"Critical")</f>
        <v/>
      </c>
    </row>
    <row r="6">
      <c r="A6" t="inlineStr">
        <is>
          <t>Completed</t>
        </is>
      </c>
      <c r="B6">
        <f>COUNTIF('Project Tracker'!E2:E10000,"Completed")</f>
        <v/>
      </c>
      <c r="D6" t="inlineStr">
        <is>
          <t>High</t>
        </is>
      </c>
      <c r="E6">
        <f>COUNTIF('Project Tracker'!F2:F10000,"High")</f>
        <v/>
      </c>
    </row>
    <row r="7">
      <c r="A7" t="inlineStr">
        <is>
          <t>In Progress</t>
        </is>
      </c>
      <c r="B7">
        <f>COUNTIF('Project Tracker'!E2:E10000,"In Progress")</f>
        <v/>
      </c>
      <c r="D7" t="inlineStr">
        <is>
          <t>Medium</t>
        </is>
      </c>
      <c r="E7">
        <f>COUNTIF('Project Tracker'!F2:F10000,"Medium")</f>
        <v/>
      </c>
    </row>
    <row r="8">
      <c r="A8" t="inlineStr">
        <is>
          <t>Blocked</t>
        </is>
      </c>
      <c r="B8">
        <f>COUNTIF('Project Tracker'!E2:E10000,"Blocked")</f>
        <v/>
      </c>
      <c r="D8" t="inlineStr">
        <is>
          <t>Low</t>
        </is>
      </c>
      <c r="E8">
        <f>COUNTIF('Project Tracker'!F2:F10000,"Low")</f>
        <v/>
      </c>
    </row>
    <row r="9">
      <c r="A9" t="inlineStr">
        <is>
          <t>Not Started</t>
        </is>
      </c>
      <c r="B9">
        <f>COUNTIF('Project Tracker'!E2:E10000,"Not Started")</f>
        <v/>
      </c>
      <c r="D9" t="inlineStr">
        <is>
          <t>Deferred</t>
        </is>
      </c>
      <c r="E9">
        <f>COUNTIF('Project Tracker'!E2:E10000,"Deferred")</f>
        <v/>
      </c>
    </row>
    <row r="10">
      <c r="A10" t="inlineStr">
        <is>
          <t>Waiting on Google Support</t>
        </is>
      </c>
      <c r="B10">
        <f>COUNTIF('Project Tracker'!E2:E10000,"Waiting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2026-08-13T08:20:12Z</dcterms:modified>
</cp:coreProperties>
</file>
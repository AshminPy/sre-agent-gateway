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Tracker" sheetId="1" state="visible" r:id="rId1"/>
    <sheet name="Dashboard" sheetId="2" state="visible" r:id="rId2"/>
    <sheet name="Phase Summary" sheetId="3" state="visible" r:id="rId3"/>
    <sheet name="Reference" sheetId="4" state="visible" r:id="rId4"/>
    <sheet name="External Dependencies" sheetId="5" state="visible" r:id="rId5"/>
    <sheet name="Completed" sheetId="6" state="visible" r:id="rId6"/>
    <sheet name="In Progress" sheetId="7" state="visible" r:id="rId7"/>
    <sheet name="Not Started" sheetId="8" state="visible" r:id="rId8"/>
    <sheet name="Blocked" sheetId="9" state="visible" r:id="rId9"/>
    <sheet name="Deferred" sheetId="10" state="visible" r:id="rId10"/>
  </sheets>
  <definedNames/>
</workbook>
</file>

<file path=xl/styles.xml><?xml version="1.0" encoding="utf-8"?>
<styleSheet xmlns="http://schemas.openxmlformats.org/spreadsheetml/2006/main">
  <numFmts count="1">
    <numFmt numFmtId="164" formatCode="yyyy-mm-dd"/>
  </numFmts>
  <fonts count="4">
    <font>
      <name val="Carlito"/>
      <sz val="11"/>
    </font>
    <font>
      <name val="Carlito"/>
      <b val="1"/>
      <color rgb="FFFFFFFF"/>
      <sz val="11"/>
    </font>
    <font>
      <name val="Carlito"/>
      <b val="1"/>
      <color rgb="FFFFFFFF"/>
      <sz val="18"/>
    </font>
    <font>
      <name val="Carlito"/>
      <b val="1"/>
      <color rgb="FF1F4E78"/>
      <sz val="11"/>
    </font>
  </fonts>
  <fills count="5">
    <fill>
      <patternFill/>
    </fill>
    <fill>
      <patternFill patternType="gray125"/>
    </fill>
    <fill>
      <patternFill patternType="solid">
        <fgColor rgb="FF1F4E78"/>
      </patternFill>
    </fill>
    <fill>
      <patternFill patternType="solid">
        <fgColor rgb="FF5B9BD5"/>
      </patternFill>
    </fill>
    <fill>
      <patternFill patternType="solid">
        <fgColor rgb="FFD9EAF7"/>
      </patternFill>
    </fill>
  </fills>
  <borders count="2">
    <border/>
    <border/>
  </borders>
  <cellStyleXfs count="1">
    <xf numFmtId="0" fontId="0" fillId="0" borderId="1"/>
  </cellStyleXfs>
  <cellXfs count="31">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wrapText="1"/>
    </xf>
    <xf numFmtId="0" fontId="1" fillId="2" borderId="0" applyAlignment="1" pivotButton="0" quotePrefix="0" xfId="0">
      <alignment horizontal="center" wrapText="1"/>
    </xf>
    <xf numFmtId="0" fontId="1" fillId="2" borderId="0" applyAlignment="1" pivotButton="0" quotePrefix="0" xfId="0">
      <alignment horizontal="center" vertical="center" wrapText="1"/>
    </xf>
    <xf numFmtId="0" fontId="0" fillId="2" borderId="1" pivotButton="0" quotePrefix="0" xfId="0"/>
    <xf numFmtId="0" fontId="1" fillId="2" borderId="1" pivotButton="0" quotePrefix="0" xfId="0"/>
    <xf numFmtId="0" fontId="1" fillId="2" borderId="1" applyAlignment="1" pivotButton="0" quotePrefix="0" xfId="0">
      <alignment wrapText="1"/>
    </xf>
    <xf numFmtId="0" fontId="1" fillId="2" borderId="1" applyAlignment="1" pivotButton="0" quotePrefix="0" xfId="0">
      <alignment horizontal="center" wrapText="1"/>
    </xf>
    <xf numFmtId="0" fontId="1" fillId="2" borderId="1" applyAlignment="1" pivotButton="0" quotePrefix="0" xfId="0">
      <alignment horizontal="center" vertical="center" wrapText="1"/>
    </xf>
    <xf numFmtId="0" fontId="0" fillId="0" borderId="0" applyAlignment="1" pivotButton="0" quotePrefix="0" xfId="0">
      <alignment wrapText="1"/>
    </xf>
    <xf numFmtId="0" fontId="0" fillId="0" borderId="1" applyAlignment="1" pivotButton="0" quotePrefix="0" xfId="0">
      <alignment wrapText="1"/>
    </xf>
    <xf numFmtId="164" fontId="0" fillId="0" borderId="0" applyAlignment="1" pivotButton="0" quotePrefix="0" xfId="0">
      <alignment wrapText="1"/>
    </xf>
    <xf numFmtId="164" fontId="0" fillId="0" borderId="1" applyAlignment="1" pivotButton="0" quotePrefix="0" xfId="0">
      <alignment wrapText="1"/>
    </xf>
    <xf numFmtId="0" fontId="2" fillId="2" borderId="0" pivotButton="0" quotePrefix="0" xfId="0"/>
    <xf numFmtId="0" fontId="2" fillId="2" borderId="0" applyAlignment="1" pivotButton="0" quotePrefix="0" xfId="0">
      <alignment horizontal="center"/>
    </xf>
    <xf numFmtId="0" fontId="2" fillId="2" borderId="0" applyAlignment="1" pivotButton="0" quotePrefix="0" xfId="0">
      <alignment horizontal="center" vertical="center"/>
    </xf>
    <xf numFmtId="0" fontId="2" fillId="2" borderId="1" pivotButton="0" quotePrefix="0" xfId="0"/>
    <xf numFmtId="0" fontId="2" fillId="2" borderId="1" applyAlignment="1" pivotButton="0" quotePrefix="0" xfId="0">
      <alignment horizontal="center"/>
    </xf>
    <xf numFmtId="0" fontId="2" fillId="2" borderId="1" applyAlignment="1" pivotButton="0" quotePrefix="0" xfId="0">
      <alignment horizontal="center" vertical="center"/>
    </xf>
    <xf numFmtId="0" fontId="0" fillId="3" borderId="0" pivotButton="0" quotePrefix="0" xfId="0"/>
    <xf numFmtId="0" fontId="1" fillId="3" borderId="0" pivotButton="0" quotePrefix="0" xfId="0"/>
    <xf numFmtId="0" fontId="0" fillId="3" borderId="1" pivotButton="0" quotePrefix="0" xfId="0"/>
    <xf numFmtId="0" fontId="1" fillId="3" borderId="1" pivotButton="0" quotePrefix="0" xfId="0"/>
    <xf numFmtId="0" fontId="0" fillId="4" borderId="0" pivotButton="0" quotePrefix="0" xfId="0"/>
    <xf numFmtId="0" fontId="3" fillId="4" borderId="0" pivotButton="0" quotePrefix="0" xfId="0"/>
    <xf numFmtId="0" fontId="0" fillId="4" borderId="1" pivotButton="0" quotePrefix="0" xfId="0"/>
    <xf numFmtId="0" fontId="3" fillId="4" borderId="1" pivotButton="0" quotePrefix="0" xfId="0"/>
    <xf numFmtId="164" fontId="0" fillId="0" borderId="0" applyAlignment="1" pivotButton="0" quotePrefix="0" xfId="0">
      <alignment wrapText="1"/>
    </xf>
  </cellXfs>
  <cellStyles count="1">
    <cellStyle name="Normal" xfId="0"/>
  </cellStyles>
  <dxfs count="5">
    <dxf>
      <font>
        <color rgb="FF006100"/>
      </font>
      <fill>
        <patternFill patternType="solid">
          <bgColor rgb="FFC6EFCE"/>
        </patternFill>
      </fill>
    </dxf>
    <dxf>
      <font>
        <color rgb="FF7F6000"/>
      </font>
      <fill>
        <patternFill patternType="solid">
          <bgColor rgb="FFFFF2CC"/>
        </patternFill>
      </fill>
    </dxf>
    <dxf>
      <font>
        <color rgb="FF595959"/>
      </font>
      <fill>
        <patternFill patternType="solid">
          <bgColor rgb="FFE7E6E6"/>
        </patternFill>
      </fill>
    </dxf>
    <dxf>
      <font>
        <b val="1"/>
        <color rgb="FF9C0006"/>
      </font>
      <fill>
        <patternFill patternType="solid">
          <bgColor rgb="FFF4CCCC"/>
        </patternFill>
      </fill>
    </dxf>
    <dxf>
      <font>
        <color rgb="FF1F4E78"/>
      </font>
      <fill>
        <patternFill patternType="solid">
          <bgColor rgb="FFD9EAF7"/>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charts/chart1.xml><?xml version="1.0" encoding="utf-8"?>
<chartSpace xmlns:a="http://schemas.openxmlformats.org/drawingml/2006/main" xmlns="http://schemas.openxmlformats.org/drawingml/2006/chart">
  <chart>
    <title>
      <tx>
        <rich>
          <a:bodyPr/>
          <a:lstStyle/>
          <a:p>
            <a:r>
              <a:t>Tasks by Status</a:t>
            </a:r>
          </a:p>
        </rich>
      </tx>
    </title>
    <plotArea>
      <barChart>
        <barDir val="col"/>
        <grouping val="clustered"/>
        <varyColors val="0"/>
        <ser>
          <idx val="0"/>
          <order val="0"/>
          <tx>
            <v>Series 1</v>
          </tx>
          <spPr>
            <a:ln>
              <a:prstDash val="solid"/>
            </a:ln>
          </spPr>
          <cat>
            <strRef>
              <f>'Dashboard'!$A$5:$A$9</f>
              <strCache>
                <ptCount val="0"/>
              </strCache>
            </strRef>
          </cat>
          <val>
            <numRef>
              <f>'Dashboard'!$B$5:$B$9</f>
              <numCache>
                <formatCode>General</formatCode>
                <ptCount val="0"/>
              </numCache>
            </numRef>
          </val>
        </ser>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lblAlgn val="ctr"/>
        <lblOffset val="100"/>
        <noMultiLvlLbl val="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crossAx val="48650112"/>
        <crossBetween val="between"/>
      </valAx>
    </plotArea>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6</col>
      <colOff>0</colOff>
      <row>3</row>
      <rowOff>0</rowOff>
    </from>
    <to>
      <col>14</col>
      <colOff>0</colOff>
      <row>16</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ProjectTrackerTable" displayName="ProjectTrackerTable" ref="A1:I137" headerRowCount="1" totalsRowCount="0" totalsRowShown="0">
  <tableColumns count="9">
    <tableColumn id="1" name="ID"/>
    <tableColumn id="2" name="Phase"/>
    <tableColumn id="3" name="Workstream"/>
    <tableColumn id="4" name="Task"/>
    <tableColumn id="5" name="Status"/>
    <tableColumn id="6" name="Priority"/>
    <tableColumn id="7" name="Owner"/>
    <tableColumn id="8" name="Target Date"/>
    <tableColumn id="9" name="Notes"/>
  </tableColumns>
  <tableStyleInfo name="TableStyleMedium2" showFirstColumn="0" showLastColumn="0" showRowStripes="1" showColumnStripes="0"/>
</table>
</file>

<file path=xl/tables/table2.xml><?xml version="1.0" encoding="utf-8"?>
<table xmlns="http://schemas.openxmlformats.org/spreadsheetml/2006/main" id="2" name="PhaseSummaryTable" displayName="PhaseSummaryTable" ref="A1:G17" headerRowCount="1" totalsRowCount="0" totalsRowShown="0">
  <tableColumns count="7">
    <tableColumn id="1" name="Phase"/>
    <tableColumn id="2" name="Workstream"/>
    <tableColumn id="3" name="Total"/>
    <tableColumn id="4" name="Completed"/>
    <tableColumn id="5" name="In Progress"/>
    <tableColumn id="6" name="Blocked"/>
    <tableColumn id="7" name="Not Started"/>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outlinePr summaryBelow="1" summaryRight="1"/>
    <pageSetUpPr/>
  </sheetPr>
  <dimension ref="A1:I2"/>
  <sheetViews>
    <sheetView workbookViewId="0">
      <selection activeCell="A1" sqref="A1"/>
    </sheetView>
  </sheetViews>
  <sheetFormatPr baseColWidth="8" defaultRowHeight="15"/>
  <cols>
    <col width="7" customWidth="1" min="1" max="1"/>
    <col width="12" customWidth="1" min="2" max="2"/>
    <col width="30" customWidth="1" min="3" max="3"/>
    <col width="48" customWidth="1" min="4" max="4"/>
    <col width="16" customWidth="1" min="5" max="5"/>
    <col width="12" customWidth="1" min="6" max="6"/>
    <col width="18" customWidth="1" min="7" max="7"/>
    <col width="14" customWidth="1" min="8" max="8"/>
    <col width="44" customWidth="1" min="9" max="9"/>
  </cols>
  <sheetData>
    <row r="1">
      <c r="A1" s="6" t="inlineStr">
        <is>
          <t>ID</t>
        </is>
      </c>
      <c r="B1" s="6" t="inlineStr">
        <is>
          <t>Phase</t>
        </is>
      </c>
      <c r="C1" s="6" t="inlineStr">
        <is>
          <t>Workstream</t>
        </is>
      </c>
      <c r="D1" s="6" t="inlineStr">
        <is>
          <t>Task</t>
        </is>
      </c>
      <c r="E1" s="6" t="inlineStr">
        <is>
          <t>Status</t>
        </is>
      </c>
      <c r="F1" s="6" t="inlineStr">
        <is>
          <t>Priority</t>
        </is>
      </c>
      <c r="G1" s="6" t="inlineStr">
        <is>
          <t>Owner</t>
        </is>
      </c>
      <c r="H1" s="6" t="inlineStr">
        <is>
          <t>Target Date</t>
        </is>
      </c>
      <c r="I1" s="6" t="inlineStr">
        <is>
          <t>Notes</t>
        </is>
      </c>
    </row>
    <row r="2">
      <c r="A2" t="inlineStr">
        <is>
          <t>NOTE:</t>
        </is>
      </c>
      <c r="D2" t="inlineStr">
        <is>
          <t>All rows moved to the Completed / In Progress / Not Started / Blocked / Deferred tabs (2026-08-24). This tab now holds only the header.</t>
        </is>
      </c>
    </row>
  </sheetData>
  <conditionalFormatting sqref="E2:E137">
    <cfRule type="expression" priority="1" dxfId="0">
      <formula>E2="Completed"</formula>
    </cfRule>
    <cfRule type="expression" priority="2" dxfId="1">
      <formula>E2="In Progress"</formula>
    </cfRule>
    <cfRule type="expression" priority="3" dxfId="2">
      <formula>E2="Not Started"</formula>
    </cfRule>
    <cfRule type="expression" priority="4" dxfId="3">
      <formula>E2="Blocked"</formula>
    </cfRule>
    <cfRule type="expression" priority="5" dxfId="4">
      <formula>E2="Deferred"</formula>
    </cfRule>
  </conditionalFormatting>
  <dataValidations count="2">
    <dataValidation sqref="E2:E139" showDropDown="0" showInputMessage="0" showErrorMessage="0" allowBlank="0" type="list">
      <formula1>"Completed,In Progress,Not Started,Blocked,Deferred,Waiting on Google Support"</formula1>
    </dataValidation>
    <dataValidation sqref="F2:F139"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10" customWidth="1" min="1" max="1"/>
    <col width="38" customWidth="1" min="2" max="2"/>
    <col width="16" customWidth="1" min="3" max="3"/>
    <col width="58" customWidth="1" min="4" max="4"/>
    <col width="12" customWidth="1" min="5" max="5"/>
  </cols>
  <sheetData>
    <row r="1">
      <c r="A1" s="21" t="inlineStr">
        <is>
          <t>SRE Agent Project Dashboard</t>
        </is>
      </c>
      <c r="B1" s="1" t="n"/>
      <c r="C1" s="1" t="n"/>
      <c r="D1" s="1" t="n"/>
      <c r="E1" s="1" t="n"/>
      <c r="F1" s="1" t="n"/>
      <c r="G1" s="1" t="n"/>
      <c r="H1" s="1" t="n"/>
    </row>
    <row r="2">
      <c r="A2" s="1" t="n"/>
      <c r="B2" s="1" t="n"/>
      <c r="C2" s="1" t="n"/>
      <c r="D2" s="1" t="n"/>
      <c r="E2" s="1" t="n"/>
      <c r="F2" s="1" t="n"/>
      <c r="G2" s="1" t="n"/>
      <c r="H2" s="1" t="n"/>
    </row>
    <row r="4">
      <c r="A4" s="23" t="inlineStr">
        <is>
          <t>Metric</t>
        </is>
      </c>
      <c r="B4" s="23" t="inlineStr">
        <is>
          <t>Value</t>
        </is>
      </c>
      <c r="D4" s="23" t="inlineStr">
        <is>
          <t>Priority</t>
        </is>
      </c>
      <c r="E4" s="23" t="inlineStr">
        <is>
          <t>Count</t>
        </is>
      </c>
    </row>
    <row r="5">
      <c r="A5" t="inlineStr">
        <is>
          <t>Total Tasks</t>
        </is>
      </c>
      <c r="B5">
        <f>COUNTA('Completed'!D2:D10000)+COUNTA('In Progress'!D2:D10000)+COUNTA('Not Started'!D2:D10000)+COUNTA('Blocked'!D2:D10000)+COUNTA('Deferred'!D2:D10000)</f>
        <v/>
      </c>
      <c r="D5" t="inlineStr">
        <is>
          <t>Critical</t>
        </is>
      </c>
      <c r="E5">
        <f>COUNTIF('Completed'!F2:F10000,"Critical")+COUNTIF('In Progress'!F2:F10000,"Critical")+COUNTIF('Not Started'!F2:F10000,"Critical")+COUNTIF('Blocked'!F2:F10000,"Critical")+COUNTIF('Deferred'!F2:F10000,"Critical")</f>
        <v/>
      </c>
    </row>
    <row r="6">
      <c r="A6" t="inlineStr">
        <is>
          <t>Completed</t>
        </is>
      </c>
      <c r="B6">
        <f>COUNTA('Completed'!D2:D10000)</f>
        <v/>
      </c>
      <c r="D6" t="inlineStr">
        <is>
          <t>High</t>
        </is>
      </c>
      <c r="E6">
        <f>COUNTIF('Completed'!F2:F10000,"High")+COUNTIF('In Progress'!F2:F10000,"High")+COUNTIF('Not Started'!F2:F10000,"High")+COUNTIF('Blocked'!F2:F10000,"High")+COUNTIF('Deferred'!F2:F10000,"High")</f>
        <v/>
      </c>
    </row>
    <row r="7">
      <c r="A7" t="inlineStr">
        <is>
          <t>In Progress</t>
        </is>
      </c>
      <c r="B7">
        <f>COUNTA('In Progress'!D2:D10000)</f>
        <v/>
      </c>
      <c r="D7" t="inlineStr">
        <is>
          <t>Medium</t>
        </is>
      </c>
      <c r="E7">
        <f>COUNTIF('Completed'!F2:F10000,"Medium")+COUNTIF('In Progress'!F2:F10000,"Medium")+COUNTIF('Not Started'!F2:F10000,"Medium")+COUNTIF('Blocked'!F2:F10000,"Medium")+COUNTIF('Deferred'!F2:F10000,"Medium")</f>
        <v/>
      </c>
    </row>
    <row r="8">
      <c r="A8" t="inlineStr">
        <is>
          <t>Blocked</t>
        </is>
      </c>
      <c r="B8">
        <f>COUNTA('Blocked'!D2:D10000)</f>
        <v/>
      </c>
      <c r="D8" t="inlineStr">
        <is>
          <t>Low</t>
        </is>
      </c>
      <c r="E8">
        <f>COUNTIF('Completed'!F2:F10000,"Low")+COUNTIF('In Progress'!F2:F10000,"Low")+COUNTIF('Not Started'!F2:F10000,"Low")+COUNTIF('Blocked'!F2:F10000,"Low")+COUNTIF('Deferred'!F2:F10000,"Low")</f>
        <v/>
      </c>
    </row>
    <row r="9">
      <c r="A9" t="inlineStr">
        <is>
          <t>Not Started</t>
        </is>
      </c>
      <c r="B9">
        <f>COUNTA('Not Started'!D2:D10000)</f>
        <v/>
      </c>
      <c r="D9" t="inlineStr">
        <is>
          <t>Deferred</t>
        </is>
      </c>
      <c r="E9">
        <f>COUNTA('Deferred'!D2:D10000)</f>
        <v/>
      </c>
    </row>
    <row r="10">
      <c r="A10" t="inlineStr">
        <is>
          <t>Waiting on Google Support</t>
        </is>
      </c>
      <c r="B10">
        <f>COUNTIF('Completed'!E2:E10000,"Waiting on Google Support")+COUNTIF('In Progress'!E2:E10000,"Waiting on Google Support")+COUNTIF('Not Started'!E2:E10000,"Waiting on Google Support")+COUNTIF('Blocked'!E2:E10000,"Waiting on Google Support")+COUNTIF('Deferred'!E2:E10000,"Waiting on Google Support")</f>
        <v/>
      </c>
    </row>
    <row r="12">
      <c r="A12" s="29" t="inlineStr">
        <is>
          <t>Current Priority Focus</t>
        </is>
      </c>
      <c r="B12" s="1" t="n"/>
      <c r="C12" s="1" t="n"/>
      <c r="D12" s="1" t="n"/>
      <c r="E12" s="1" t="n"/>
      <c r="F12" s="1" t="n"/>
      <c r="G12" s="1" t="n"/>
      <c r="H12" s="1" t="n"/>
    </row>
    <row r="13">
      <c r="A13" s="4" t="inlineStr">
        <is>
          <t>Order</t>
        </is>
      </c>
      <c r="B13" s="4" t="inlineStr">
        <is>
          <t>Focus</t>
        </is>
      </c>
      <c r="C13" s="4" t="inlineStr">
        <is>
          <t>Status</t>
        </is>
      </c>
      <c r="D13" s="4" t="inlineStr">
        <is>
          <t>Why It Matters</t>
        </is>
      </c>
    </row>
    <row r="14">
      <c r="A14" s="12" t="n">
        <v>1</v>
      </c>
      <c r="B14" s="12" t="inlineStr">
        <is>
          <t>Fix client timeout / investigation latency</t>
        </is>
      </c>
      <c r="C14" s="12" t="inlineStr">
        <is>
          <t>Blocked</t>
        </is>
      </c>
      <c r="D14" s="12" t="inlineStr">
        <is>
          <t>Live runs can exceed the client timeout.</t>
        </is>
      </c>
    </row>
    <row r="15">
      <c r="A15" s="12" t="n">
        <v>2</v>
      </c>
      <c r="B15" s="12" t="inlineStr">
        <is>
          <t>Restore reliable pod-log access</t>
        </is>
      </c>
      <c r="C15" s="12" t="inlineStr">
        <is>
          <t>Blocked</t>
        </is>
      </c>
      <c r="D15" s="12" t="inlineStr">
        <is>
          <t>Missing logs directly reduces investigation quality.</t>
        </is>
      </c>
    </row>
    <row r="16">
      <c r="A16" s="12" t="n">
        <v>3</v>
      </c>
      <c r="B16" s="12" t="inlineStr">
        <is>
          <t>Close confidence/evidence correctness gaps</t>
        </is>
      </c>
      <c r="C16" s="12" t="inlineStr">
        <is>
          <t>In Progress</t>
        </is>
      </c>
      <c r="D16" s="12" t="inlineStr">
        <is>
          <t>Confidence must reflect successful, fresh evidence.</t>
        </is>
      </c>
    </row>
    <row r="17">
      <c r="A17" s="12" t="n">
        <v>4</v>
      </c>
      <c r="B17" s="12" t="inlineStr">
        <is>
          <t>Finish routing safety and multi-cluster IAM</t>
        </is>
      </c>
      <c r="C17" s="12" t="inlineStr">
        <is>
          <t>In Progress</t>
        </is>
      </c>
      <c r="D17" s="12" t="inlineStr">
        <is>
          <t>Wrong-cluster/default routing is a production safety risk.</t>
        </is>
      </c>
    </row>
    <row r="18">
      <c r="A18" s="12" t="n">
        <v>5</v>
      </c>
      <c r="B18" s="12" t="inlineStr">
        <is>
          <t>Complete full E2E evaluation</t>
        </is>
      </c>
      <c r="C18" s="12" t="inlineStr">
        <is>
          <t>Blocked</t>
        </is>
      </c>
      <c r="D18" s="12" t="inlineStr">
        <is>
          <t>Need proof the entire workflow works together.</t>
        </is>
      </c>
    </row>
    <row r="19">
      <c r="A19" s="12" t="n">
        <v>6</v>
      </c>
      <c r="B19" s="12" t="inlineStr">
        <is>
          <t>Deploy Custom MCP + validate Connect Gateway</t>
        </is>
      </c>
      <c r="C19" s="12" t="inlineStr">
        <is>
          <t>In Progress</t>
        </is>
      </c>
      <c r="D19" s="12" t="inlineStr">
        <is>
          <t>Required for production non-GKE/on-prem support.</t>
        </is>
      </c>
    </row>
    <row r="20">
      <c r="A20" s="12" t="n">
        <v>7</v>
      </c>
      <c r="B20" s="12" t="inlineStr">
        <is>
          <t>Build PagerDuty integration</t>
        </is>
      </c>
      <c r="C20" s="12" t="inlineStr">
        <is>
          <t>Not Started</t>
        </is>
      </c>
      <c r="D20" s="12" t="inlineStr">
        <is>
          <t>Required automated production trigger path.</t>
        </is>
      </c>
    </row>
  </sheetData>
  <mergeCells count="2">
    <mergeCell ref="A12:H12"/>
    <mergeCell ref="A1:H2"/>
  </mergeCells>
  <pageMargins left="0.7" right="0.7" top="0.75" bottom="0.75" header="0.3" footer="0.3"/>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12" customWidth="1" min="1" max="1"/>
    <col width="34" customWidth="1" min="2" max="2"/>
    <col width="14" customWidth="1" min="3" max="3"/>
    <col width="14" customWidth="1" min="4" max="4"/>
    <col width="14" customWidth="1" min="5" max="5"/>
    <col width="14" customWidth="1" min="6" max="6"/>
    <col width="14" customWidth="1" min="7" max="7"/>
  </cols>
  <sheetData>
    <row r="1">
      <c r="A1" s="4" t="inlineStr">
        <is>
          <t>Phase</t>
        </is>
      </c>
      <c r="B1" s="4" t="inlineStr">
        <is>
          <t>Workstream</t>
        </is>
      </c>
      <c r="C1" s="4" t="inlineStr">
        <is>
          <t>Total</t>
        </is>
      </c>
      <c r="D1" s="4" t="inlineStr">
        <is>
          <t>Completed</t>
        </is>
      </c>
      <c r="E1" s="4" t="inlineStr">
        <is>
          <t>In Progress</t>
        </is>
      </c>
      <c r="F1" s="4" t="inlineStr">
        <is>
          <t>Blocked</t>
        </is>
      </c>
      <c r="G1" s="4" t="inlineStr">
        <is>
          <t>Not Started</t>
        </is>
      </c>
      <c r="H1" t="inlineStr">
        <is>
          <t>Waiting on Google Support</t>
        </is>
      </c>
    </row>
    <row r="2">
      <c r="A2" s="12" t="inlineStr">
        <is>
          <t>Phase 0</t>
        </is>
      </c>
      <c r="B2" s="12" t="inlineStr">
        <is>
          <t>Protect Current Working Setup</t>
        </is>
      </c>
      <c r="C2" s="12">
        <f>COUNTIFS('Completed'!B:B,A2,'Completed'!C:C,B2)+COUNTIFS('In Progress'!B:B,A2,'In Progress'!C:C,B2)+COUNTIFS('Not Started'!B:B,A2,'Not Started'!C:C,B2)+COUNTIFS('Blocked'!B:B,A2,'Blocked'!C:C,B2)+COUNTIFS('Deferred'!B:B,A2,'Deferred'!C:C,B2)</f>
        <v/>
      </c>
      <c r="D2" s="12">
        <f>COUNTIFS('Completed'!B:B,A2,'Completed'!C:C,B2)</f>
        <v/>
      </c>
      <c r="E2" s="12">
        <f>COUNTIFS('In Progress'!B:B,A2,'In Progress'!C:C,B2)</f>
        <v/>
      </c>
      <c r="F2" s="12">
        <f>COUNTIFS('Blocked'!B:B,A2,'Blocked'!C:C,B2)</f>
        <v/>
      </c>
      <c r="G2" s="12">
        <f>COUNTIFS('Not Started'!B:B,A2,'Not Started'!C:C,B2)</f>
        <v/>
      </c>
      <c r="H2">
        <f>COUNTIFS('Completed'!B:B,A2,'Completed'!C:C,B2,'Completed'!E:E,"Waiting on Google Support")+COUNTIFS('In Progress'!B:B,A2,'In Progress'!C:C,B2,'In Progress'!E:E,"Waiting on Google Support")+COUNTIFS('Not Started'!B:B,A2,'Not Started'!C:C,B2,'Not Started'!E:E,"Waiting on Google Support")+COUNTIFS('Blocked'!B:B,A2,'Blocked'!C:C,B2,'Blocked'!E:E,"Waiting on Google Support")+COUNTIFS('Deferred'!B:B,A2,'Deferred'!C:C,B2,'Deferred'!E:E,"Waiting on Google Support")</f>
        <v/>
      </c>
    </row>
    <row r="3">
      <c r="A3" s="12" t="inlineStr">
        <is>
          <t>Phase 1</t>
        </is>
      </c>
      <c r="B3" s="12" t="inlineStr">
        <is>
          <t>Production Readiness</t>
        </is>
      </c>
      <c r="C3" s="12">
        <f>COUNTIFS('Completed'!B:B,A3,'Completed'!C:C,B3)+COUNTIFS('In Progress'!B:B,A3,'In Progress'!C:C,B3)+COUNTIFS('Not Started'!B:B,A3,'Not Started'!C:C,B3)+COUNTIFS('Blocked'!B:B,A3,'Blocked'!C:C,B3)+COUNTIFS('Deferred'!B:B,A3,'Deferred'!C:C,B3)</f>
        <v/>
      </c>
      <c r="D3" s="12">
        <f>COUNTIFS('Completed'!B:B,A3,'Completed'!C:C,B3)</f>
        <v/>
      </c>
      <c r="E3" s="12">
        <f>COUNTIFS('In Progress'!B:B,A3,'In Progress'!C:C,B3)</f>
        <v/>
      </c>
      <c r="F3" s="12">
        <f>COUNTIFS('Blocked'!B:B,A3,'Blocked'!C:C,B3)</f>
        <v/>
      </c>
      <c r="G3" s="12">
        <f>COUNTIFS('Not Started'!B:B,A3,'Not Started'!C:C,B3)</f>
        <v/>
      </c>
      <c r="H3">
        <f>COUNTIFS('Completed'!B:B,A3,'Completed'!C:C,B3,'Completed'!E:E,"Waiting on Google Support")+COUNTIFS('In Progress'!B:B,A3,'In Progress'!C:C,B3,'In Progress'!E:E,"Waiting on Google Support")+COUNTIFS('Not Started'!B:B,A3,'Not Started'!C:C,B3,'Not Started'!E:E,"Waiting on Google Support")+COUNTIFS('Blocked'!B:B,A3,'Blocked'!C:C,B3,'Blocked'!E:E,"Waiting on Google Support")+COUNTIFS('Deferred'!B:B,A3,'Deferred'!C:C,B3,'Deferred'!E:E,"Waiting on Google Support")</f>
        <v/>
      </c>
    </row>
    <row r="4">
      <c r="A4" s="12" t="inlineStr">
        <is>
          <t>Phase 2</t>
        </is>
      </c>
      <c r="B4" s="12" t="inlineStr">
        <is>
          <t>Agent Gateway &amp; Model Armor</t>
        </is>
      </c>
      <c r="C4" s="12">
        <f>COUNTIFS('Completed'!B:B,A4,'Completed'!C:C,B4)+COUNTIFS('In Progress'!B:B,A4,'In Progress'!C:C,B4)+COUNTIFS('Not Started'!B:B,A4,'Not Started'!C:C,B4)+COUNTIFS('Blocked'!B:B,A4,'Blocked'!C:C,B4)+COUNTIFS('Deferred'!B:B,A4,'Deferred'!C:C,B4)</f>
        <v/>
      </c>
      <c r="D4" s="12">
        <f>COUNTIFS('Completed'!B:B,A4,'Completed'!C:C,B4)</f>
        <v/>
      </c>
      <c r="E4" s="12">
        <f>COUNTIFS('In Progress'!B:B,A4,'In Progress'!C:C,B4)</f>
        <v/>
      </c>
      <c r="F4" s="12">
        <f>COUNTIFS('Blocked'!B:B,A4,'Blocked'!C:C,B4)</f>
        <v/>
      </c>
      <c r="G4" s="12">
        <f>COUNTIFS('Not Started'!B:B,A4,'Not Started'!C:C,B4)</f>
        <v/>
      </c>
      <c r="H4">
        <f>COUNTIFS('Completed'!B:B,A4,'Completed'!C:C,B4,'Completed'!E:E,"Waiting on Google Support")+COUNTIFS('In Progress'!B:B,A4,'In Progress'!C:C,B4,'In Progress'!E:E,"Waiting on Google Support")+COUNTIFS('Not Started'!B:B,A4,'Not Started'!C:C,B4,'Not Started'!E:E,"Waiting on Google Support")+COUNTIFS('Blocked'!B:B,A4,'Blocked'!C:C,B4,'Blocked'!E:E,"Waiting on Google Support")+COUNTIFS('Deferred'!B:B,A4,'Deferred'!C:C,B4,'Deferred'!E:E,"Waiting on Google Support")</f>
        <v/>
      </c>
    </row>
    <row r="5">
      <c r="A5" s="12" t="inlineStr">
        <is>
          <t>Phase 3</t>
        </is>
      </c>
      <c r="B5" s="12" t="inlineStr">
        <is>
          <t>RCA Output &amp; Evidence</t>
        </is>
      </c>
      <c r="C5" s="12">
        <f>COUNTIFS('Completed'!B:B,A5,'Completed'!C:C,B5)+COUNTIFS('In Progress'!B:B,A5,'In Progress'!C:C,B5)+COUNTIFS('Not Started'!B:B,A5,'Not Started'!C:C,B5)+COUNTIFS('Blocked'!B:B,A5,'Blocked'!C:C,B5)+COUNTIFS('Deferred'!B:B,A5,'Deferred'!C:C,B5)</f>
        <v/>
      </c>
      <c r="D5" s="12">
        <f>COUNTIFS('Completed'!B:B,A5,'Completed'!C:C,B5)</f>
        <v/>
      </c>
      <c r="E5" s="12">
        <f>COUNTIFS('In Progress'!B:B,A5,'In Progress'!C:C,B5)</f>
        <v/>
      </c>
      <c r="F5" s="12">
        <f>COUNTIFS('Blocked'!B:B,A5,'Blocked'!C:C,B5)</f>
        <v/>
      </c>
      <c r="G5" s="12">
        <f>COUNTIFS('Not Started'!B:B,A5,'Not Started'!C:C,B5)</f>
        <v/>
      </c>
      <c r="H5">
        <f>COUNTIFS('Completed'!B:B,A5,'Completed'!C:C,B5,'Completed'!E:E,"Waiting on Google Support")+COUNTIFS('In Progress'!B:B,A5,'In Progress'!C:C,B5,'In Progress'!E:E,"Waiting on Google Support")+COUNTIFS('Not Started'!B:B,A5,'Not Started'!C:C,B5,'Not Started'!E:E,"Waiting on Google Support")+COUNTIFS('Blocked'!B:B,A5,'Blocked'!C:C,B5,'Blocked'!E:E,"Waiting on Google Support")+COUNTIFS('Deferred'!B:B,A5,'Deferred'!C:C,B5,'Deferred'!E:E,"Waiting on Google Support")</f>
        <v/>
      </c>
    </row>
    <row r="6">
      <c r="A6" s="12" t="inlineStr">
        <is>
          <t>Phase 4</t>
        </is>
      </c>
      <c r="B6" s="12" t="inlineStr">
        <is>
          <t>Dynamic Investigation &amp; Confidence</t>
        </is>
      </c>
      <c r="C6" s="12">
        <f>COUNTIFS('Completed'!B:B,A6,'Completed'!C:C,B6)+COUNTIFS('In Progress'!B:B,A6,'In Progress'!C:C,B6)+COUNTIFS('Not Started'!B:B,A6,'Not Started'!C:C,B6)+COUNTIFS('Blocked'!B:B,A6,'Blocked'!C:C,B6)+COUNTIFS('Deferred'!B:B,A6,'Deferred'!C:C,B6)</f>
        <v/>
      </c>
      <c r="D6" s="12">
        <f>COUNTIFS('Completed'!B:B,A6,'Completed'!C:C,B6)</f>
        <v/>
      </c>
      <c r="E6" s="12">
        <f>COUNTIFS('In Progress'!B:B,A6,'In Progress'!C:C,B6)</f>
        <v/>
      </c>
      <c r="F6" s="12">
        <f>COUNTIFS('Blocked'!B:B,A6,'Blocked'!C:C,B6)</f>
        <v/>
      </c>
      <c r="G6" s="12">
        <f>COUNTIFS('Not Started'!B:B,A6,'Not Started'!C:C,B6)</f>
        <v/>
      </c>
      <c r="H6">
        <f>COUNTIFS('Completed'!B:B,A6,'Completed'!C:C,B6,'Completed'!E:E,"Waiting on Google Support")+COUNTIFS('In Progress'!B:B,A6,'In Progress'!C:C,B6,'In Progress'!E:E,"Waiting on Google Support")+COUNTIFS('Not Started'!B:B,A6,'Not Started'!C:C,B6,'Not Started'!E:E,"Waiting on Google Support")+COUNTIFS('Blocked'!B:B,A6,'Blocked'!C:C,B6,'Blocked'!E:E,"Waiting on Google Support")+COUNTIFS('Deferred'!B:B,A6,'Deferred'!C:C,B6,'Deferred'!E:E,"Waiting on Google Support")</f>
        <v/>
      </c>
    </row>
    <row r="7">
      <c r="A7" s="12" t="inlineStr">
        <is>
          <t>Phase 5</t>
        </is>
      </c>
      <c r="B7" s="12" t="inlineStr">
        <is>
          <t>Testing &amp; Evaluation</t>
        </is>
      </c>
      <c r="C7" s="12">
        <f>COUNTIFS('Completed'!B:B,A7,'Completed'!C:C,B7)+COUNTIFS('In Progress'!B:B,A7,'In Progress'!C:C,B7)+COUNTIFS('Not Started'!B:B,A7,'Not Started'!C:C,B7)+COUNTIFS('Blocked'!B:B,A7,'Blocked'!C:C,B7)+COUNTIFS('Deferred'!B:B,A7,'Deferred'!C:C,B7)</f>
        <v/>
      </c>
      <c r="D7" s="12">
        <f>COUNTIFS('Completed'!B:B,A7,'Completed'!C:C,B7)</f>
        <v/>
      </c>
      <c r="E7" s="12">
        <f>COUNTIFS('In Progress'!B:B,A7,'In Progress'!C:C,B7)</f>
        <v/>
      </c>
      <c r="F7" s="12">
        <f>COUNTIFS('Blocked'!B:B,A7,'Blocked'!C:C,B7)</f>
        <v/>
      </c>
      <c r="G7" s="12">
        <f>COUNTIFS('Not Started'!B:B,A7,'Not Started'!C:C,B7)</f>
        <v/>
      </c>
      <c r="H7">
        <f>COUNTIFS('Completed'!B:B,A7,'Completed'!C:C,B7,'Completed'!E:E,"Waiting on Google Support")+COUNTIFS('In Progress'!B:B,A7,'In Progress'!C:C,B7,'In Progress'!E:E,"Waiting on Google Support")+COUNTIFS('Not Started'!B:B,A7,'Not Started'!C:C,B7,'Not Started'!E:E,"Waiting on Google Support")+COUNTIFS('Blocked'!B:B,A7,'Blocked'!C:C,B7,'Blocked'!E:E,"Waiting on Google Support")+COUNTIFS('Deferred'!B:B,A7,'Deferred'!C:C,B7,'Deferred'!E:E,"Waiting on Google Support")</f>
        <v/>
      </c>
    </row>
    <row r="8">
      <c r="A8" s="12" t="inlineStr">
        <is>
          <t>Phase 6</t>
        </is>
      </c>
      <c r="B8" s="12" t="inlineStr">
        <is>
          <t>Observability &amp; Reliability</t>
        </is>
      </c>
      <c r="C8" s="12">
        <f>COUNTIFS('Completed'!B:B,A8,'Completed'!C:C,B8)+COUNTIFS('In Progress'!B:B,A8,'In Progress'!C:C,B8)+COUNTIFS('Not Started'!B:B,A8,'Not Started'!C:C,B8)+COUNTIFS('Blocked'!B:B,A8,'Blocked'!C:C,B8)+COUNTIFS('Deferred'!B:B,A8,'Deferred'!C:C,B8)</f>
        <v/>
      </c>
      <c r="D8" s="12">
        <f>COUNTIFS('Completed'!B:B,A8,'Completed'!C:C,B8)</f>
        <v/>
      </c>
      <c r="E8" s="12">
        <f>COUNTIFS('In Progress'!B:B,A8,'In Progress'!C:C,B8)</f>
        <v/>
      </c>
      <c r="F8" s="12">
        <f>COUNTIFS('Blocked'!B:B,A8,'Blocked'!C:C,B8)</f>
        <v/>
      </c>
      <c r="G8" s="12">
        <f>COUNTIFS('Not Started'!B:B,A8,'Not Started'!C:C,B8)</f>
        <v/>
      </c>
      <c r="H8">
        <f>COUNTIFS('Completed'!B:B,A8,'Completed'!C:C,B8,'Completed'!E:E,"Waiting on Google Support")+COUNTIFS('In Progress'!B:B,A8,'In Progress'!C:C,B8,'In Progress'!E:E,"Waiting on Google Support")+COUNTIFS('Not Started'!B:B,A8,'Not Started'!C:C,B8,'Not Started'!E:E,"Waiting on Google Support")+COUNTIFS('Blocked'!B:B,A8,'Blocked'!C:C,B8,'Blocked'!E:E,"Waiting on Google Support")+COUNTIFS('Deferred'!B:B,A8,'Deferred'!C:C,B8,'Deferred'!E:E,"Waiting on Google Support")</f>
        <v/>
      </c>
    </row>
    <row r="9">
      <c r="A9" s="12" t="inlineStr">
        <is>
          <t>Phase 7</t>
        </is>
      </c>
      <c r="B9" s="12" t="inlineStr">
        <is>
          <t>Multi-Cluster Scalability</t>
        </is>
      </c>
      <c r="C9" s="12">
        <f>COUNTIFS('Completed'!B:B,A9,'Completed'!C:C,B9)+COUNTIFS('In Progress'!B:B,A9,'In Progress'!C:C,B9)+COUNTIFS('Not Started'!B:B,A9,'Not Started'!C:C,B9)+COUNTIFS('Blocked'!B:B,A9,'Blocked'!C:C,B9)+COUNTIFS('Deferred'!B:B,A9,'Deferred'!C:C,B9)</f>
        <v/>
      </c>
      <c r="D9" s="12">
        <f>COUNTIFS('Completed'!B:B,A9,'Completed'!C:C,B9)</f>
        <v/>
      </c>
      <c r="E9" s="12">
        <f>COUNTIFS('In Progress'!B:B,A9,'In Progress'!C:C,B9)</f>
        <v/>
      </c>
      <c r="F9" s="12">
        <f>COUNTIFS('Blocked'!B:B,A9,'Blocked'!C:C,B9)</f>
        <v/>
      </c>
      <c r="G9" s="12">
        <f>COUNTIFS('Not Started'!B:B,A9,'Not Started'!C:C,B9)</f>
        <v/>
      </c>
      <c r="H9">
        <f>COUNTIFS('Completed'!B:B,A9,'Completed'!C:C,B9,'Completed'!E:E,"Waiting on Google Support")+COUNTIFS('In Progress'!B:B,A9,'In Progress'!C:C,B9,'In Progress'!E:E,"Waiting on Google Support")+COUNTIFS('Not Started'!B:B,A9,'Not Started'!C:C,B9,'Not Started'!E:E,"Waiting on Google Support")+COUNTIFS('Blocked'!B:B,A9,'Blocked'!C:C,B9,'Blocked'!E:E,"Waiting on Google Support")+COUNTIFS('Deferred'!B:B,A9,'Deferred'!C:C,B9,'Deferred'!E:E,"Waiting on Google Support")</f>
        <v/>
      </c>
    </row>
    <row r="10">
      <c r="A10" s="12" t="inlineStr">
        <is>
          <t>Phase 8</t>
        </is>
      </c>
      <c r="B10" s="12" t="inlineStr">
        <is>
          <t>MCP Tool Architecture</t>
        </is>
      </c>
      <c r="C10" s="12">
        <f>COUNTIFS('Completed'!B:B,A10,'Completed'!C:C,B10)+COUNTIFS('In Progress'!B:B,A10,'In Progress'!C:C,B10)+COUNTIFS('Not Started'!B:B,A10,'Not Started'!C:C,B10)+COUNTIFS('Blocked'!B:B,A10,'Blocked'!C:C,B10)+COUNTIFS('Deferred'!B:B,A10,'Deferred'!C:C,B10)</f>
        <v/>
      </c>
      <c r="D10" s="12">
        <f>COUNTIFS('Completed'!B:B,A10,'Completed'!C:C,B10)</f>
        <v/>
      </c>
      <c r="E10" s="12">
        <f>COUNTIFS('In Progress'!B:B,A10,'In Progress'!C:C,B10)</f>
        <v/>
      </c>
      <c r="F10" s="12">
        <f>COUNTIFS('Blocked'!B:B,A10,'Blocked'!C:C,B10)</f>
        <v/>
      </c>
      <c r="G10" s="12">
        <f>COUNTIFS('Not Started'!B:B,A10,'Not Started'!C:C,B10)</f>
        <v/>
      </c>
      <c r="H10">
        <f>COUNTIFS('Completed'!B:B,A10,'Completed'!C:C,B10,'Completed'!E:E,"Waiting on Google Support")+COUNTIFS('In Progress'!B:B,A10,'In Progress'!C:C,B10,'In Progress'!E:E,"Waiting on Google Support")+COUNTIFS('Not Started'!B:B,A10,'Not Started'!C:C,B10,'Not Started'!E:E,"Waiting on Google Support")+COUNTIFS('Blocked'!B:B,A10,'Blocked'!C:C,B10,'Blocked'!E:E,"Waiting on Google Support")+COUNTIFS('Deferred'!B:B,A10,'Deferred'!C:C,B10,'Deferred'!E:E,"Waiting on Google Support")</f>
        <v/>
      </c>
    </row>
    <row r="11">
      <c r="A11" s="12" t="inlineStr">
        <is>
          <t>Phase 9</t>
        </is>
      </c>
      <c r="B11" s="12" t="inlineStr">
        <is>
          <t>Cost &amp; Performance</t>
        </is>
      </c>
      <c r="C11" s="12">
        <f>COUNTIFS('Completed'!B:B,A11,'Completed'!C:C,B11)+COUNTIFS('In Progress'!B:B,A11,'In Progress'!C:C,B11)+COUNTIFS('Not Started'!B:B,A11,'Not Started'!C:C,B11)+COUNTIFS('Blocked'!B:B,A11,'Blocked'!C:C,B11)+COUNTIFS('Deferred'!B:B,A11,'Deferred'!C:C,B11)</f>
        <v/>
      </c>
      <c r="D11" s="12">
        <f>COUNTIFS('Completed'!B:B,A11,'Completed'!C:C,B11)</f>
        <v/>
      </c>
      <c r="E11" s="12">
        <f>COUNTIFS('In Progress'!B:B,A11,'In Progress'!C:C,B11)</f>
        <v/>
      </c>
      <c r="F11" s="12">
        <f>COUNTIFS('Blocked'!B:B,A11,'Blocked'!C:C,B11)</f>
        <v/>
      </c>
      <c r="G11" s="12">
        <f>COUNTIFS('Not Started'!B:B,A11,'Not Started'!C:C,B11)</f>
        <v/>
      </c>
      <c r="H11">
        <f>COUNTIFS('Completed'!B:B,A11,'Completed'!C:C,B11,'Completed'!E:E,"Waiting on Google Support")+COUNTIFS('In Progress'!B:B,A11,'In Progress'!C:C,B11,'In Progress'!E:E,"Waiting on Google Support")+COUNTIFS('Not Started'!B:B,A11,'Not Started'!C:C,B11,'Not Started'!E:E,"Waiting on Google Support")+COUNTIFS('Blocked'!B:B,A11,'Blocked'!C:C,B11,'Blocked'!E:E,"Waiting on Google Support")+COUNTIFS('Deferred'!B:B,A11,'Deferred'!C:C,B11,'Deferred'!E:E,"Waiting on Google Support")</f>
        <v/>
      </c>
    </row>
    <row r="12">
      <c r="A12" s="12" t="inlineStr">
        <is>
          <t>Phase 10</t>
        </is>
      </c>
      <c r="B12" s="12" t="inlineStr">
        <is>
          <t>PagerDuty Integration</t>
        </is>
      </c>
      <c r="C12" s="12">
        <f>COUNTIFS('Completed'!B:B,A12,'Completed'!C:C,B12)+COUNTIFS('In Progress'!B:B,A12,'In Progress'!C:C,B12)+COUNTIFS('Not Started'!B:B,A12,'Not Started'!C:C,B12)+COUNTIFS('Blocked'!B:B,A12,'Blocked'!C:C,B12)+COUNTIFS('Deferred'!B:B,A12,'Deferred'!C:C,B12)</f>
        <v/>
      </c>
      <c r="D12" s="12">
        <f>COUNTIFS('Completed'!B:B,A12,'Completed'!C:C,B12)</f>
        <v/>
      </c>
      <c r="E12" s="12">
        <f>COUNTIFS('In Progress'!B:B,A12,'In Progress'!C:C,B12)</f>
        <v/>
      </c>
      <c r="F12" s="12">
        <f>COUNTIFS('Blocked'!B:B,A12,'Blocked'!C:C,B12)</f>
        <v/>
      </c>
      <c r="G12" s="12">
        <f>COUNTIFS('Not Started'!B:B,A12,'Not Started'!C:C,B12)</f>
        <v/>
      </c>
      <c r="H12">
        <f>COUNTIFS('Completed'!B:B,A12,'Completed'!C:C,B12,'Completed'!E:E,"Waiting on Google Support")+COUNTIFS('In Progress'!B:B,A12,'In Progress'!C:C,B12,'In Progress'!E:E,"Waiting on Google Support")+COUNTIFS('Not Started'!B:B,A12,'Not Started'!C:C,B12,'Not Started'!E:E,"Waiting on Google Support")+COUNTIFS('Blocked'!B:B,A12,'Blocked'!C:C,B12,'Blocked'!E:E,"Waiting on Google Support")+COUNTIFS('Deferred'!B:B,A12,'Deferred'!C:C,B12,'Deferred'!E:E,"Waiting on Google Support")</f>
        <v/>
      </c>
    </row>
    <row r="13">
      <c r="A13" s="12" t="inlineStr">
        <is>
          <t>Phase 11</t>
        </is>
      </c>
      <c r="B13" s="12" t="inlineStr">
        <is>
          <t>Additional MCP Sources</t>
        </is>
      </c>
      <c r="C13" s="12">
        <f>COUNTIFS('Completed'!B:B,A13,'Completed'!C:C,B13)+COUNTIFS('In Progress'!B:B,A13,'In Progress'!C:C,B13)+COUNTIFS('Not Started'!B:B,A13,'Not Started'!C:C,B13)+COUNTIFS('Blocked'!B:B,A13,'Blocked'!C:C,B13)+COUNTIFS('Deferred'!B:B,A13,'Deferred'!C:C,B13)</f>
        <v/>
      </c>
      <c r="D13" s="12">
        <f>COUNTIFS('Completed'!B:B,A13,'Completed'!C:C,B13)</f>
        <v/>
      </c>
      <c r="E13" s="12">
        <f>COUNTIFS('In Progress'!B:B,A13,'In Progress'!C:C,B13)</f>
        <v/>
      </c>
      <c r="F13" s="12">
        <f>COUNTIFS('Blocked'!B:B,A13,'Blocked'!C:C,B13)</f>
        <v/>
      </c>
      <c r="G13" s="12">
        <f>COUNTIFS('Not Started'!B:B,A13,'Not Started'!C:C,B13)</f>
        <v/>
      </c>
      <c r="H13">
        <f>COUNTIFS('Completed'!B:B,A13,'Completed'!C:C,B13,'Completed'!E:E,"Waiting on Google Support")+COUNTIFS('In Progress'!B:B,A13,'In Progress'!C:C,B13,'In Progress'!E:E,"Waiting on Google Support")+COUNTIFS('Not Started'!B:B,A13,'Not Started'!C:C,B13,'Not Started'!E:E,"Waiting on Google Support")+COUNTIFS('Blocked'!B:B,A13,'Blocked'!C:C,B13,'Blocked'!E:E,"Waiting on Google Support")+COUNTIFS('Deferred'!B:B,A13,'Deferred'!C:C,B13,'Deferred'!E:E,"Waiting on Google Support")</f>
        <v/>
      </c>
    </row>
    <row r="14">
      <c r="A14" s="12" t="inlineStr">
        <is>
          <t>Phase 12</t>
        </is>
      </c>
      <c r="B14" s="12" t="inlineStr">
        <is>
          <t>On-Premises Kubernetes</t>
        </is>
      </c>
      <c r="C14" s="12">
        <f>COUNTIFS('Completed'!B:B,A14,'Completed'!C:C,B14)+COUNTIFS('In Progress'!B:B,A14,'In Progress'!C:C,B14)+COUNTIFS('Not Started'!B:B,A14,'Not Started'!C:C,B14)+COUNTIFS('Blocked'!B:B,A14,'Blocked'!C:C,B14)+COUNTIFS('Deferred'!B:B,A14,'Deferred'!C:C,B14)</f>
        <v/>
      </c>
      <c r="D14" s="12">
        <f>COUNTIFS('Completed'!B:B,A14,'Completed'!C:C,B14)</f>
        <v/>
      </c>
      <c r="E14" s="12">
        <f>COUNTIFS('In Progress'!B:B,A14,'In Progress'!C:C,B14)</f>
        <v/>
      </c>
      <c r="F14" s="12">
        <f>COUNTIFS('Blocked'!B:B,A14,'Blocked'!C:C,B14)</f>
        <v/>
      </c>
      <c r="G14" s="12">
        <f>COUNTIFS('Not Started'!B:B,A14,'Not Started'!C:C,B14)</f>
        <v/>
      </c>
      <c r="H14">
        <f>COUNTIFS('Completed'!B:B,A14,'Completed'!C:C,B14,'Completed'!E:E,"Waiting on Google Support")+COUNTIFS('In Progress'!B:B,A14,'In Progress'!C:C,B14,'In Progress'!E:E,"Waiting on Google Support")+COUNTIFS('Not Started'!B:B,A14,'Not Started'!C:C,B14,'Not Started'!E:E,"Waiting on Google Support")+COUNTIFS('Blocked'!B:B,A14,'Blocked'!C:C,B14,'Blocked'!E:E,"Waiting on Google Support")+COUNTIFS('Deferred'!B:B,A14,'Deferred'!C:C,B14,'Deferred'!E:E,"Waiting on Google Support")</f>
        <v/>
      </c>
    </row>
    <row r="15">
      <c r="A15" s="12" t="inlineStr">
        <is>
          <t>Phase 13</t>
        </is>
      </c>
      <c r="B15" s="12" t="inlineStr">
        <is>
          <t>Security &amp; Supply Chain</t>
        </is>
      </c>
      <c r="C15" s="12">
        <f>COUNTIFS('Completed'!B:B,A15,'Completed'!C:C,B15)+COUNTIFS('In Progress'!B:B,A15,'In Progress'!C:C,B15)+COUNTIFS('Not Started'!B:B,A15,'Not Started'!C:C,B15)+COUNTIFS('Blocked'!B:B,A15,'Blocked'!C:C,B15)+COUNTIFS('Deferred'!B:B,A15,'Deferred'!C:C,B15)</f>
        <v/>
      </c>
      <c r="D15" s="12">
        <f>COUNTIFS('Completed'!B:B,A15,'Completed'!C:C,B15)</f>
        <v/>
      </c>
      <c r="E15" s="12">
        <f>COUNTIFS('In Progress'!B:B,A15,'In Progress'!C:C,B15)</f>
        <v/>
      </c>
      <c r="F15" s="12">
        <f>COUNTIFS('Blocked'!B:B,A15,'Blocked'!C:C,B15)</f>
        <v/>
      </c>
      <c r="G15" s="12">
        <f>COUNTIFS('Not Started'!B:B,A15,'Not Started'!C:C,B15)</f>
        <v/>
      </c>
      <c r="H15">
        <f>COUNTIFS('Completed'!B:B,A15,'Completed'!C:C,B15,'Completed'!E:E,"Waiting on Google Support")+COUNTIFS('In Progress'!B:B,A15,'In Progress'!C:C,B15,'In Progress'!E:E,"Waiting on Google Support")+COUNTIFS('Not Started'!B:B,A15,'Not Started'!C:C,B15,'Not Started'!E:E,"Waiting on Google Support")+COUNTIFS('Blocked'!B:B,A15,'Blocked'!C:C,B15,'Blocked'!E:E,"Waiting on Google Support")+COUNTIFS('Deferred'!B:B,A15,'Deferred'!C:C,B15,'Deferred'!E:E,"Waiting on Google Support")</f>
        <v/>
      </c>
    </row>
    <row r="16">
      <c r="A16" s="12" t="inlineStr">
        <is>
          <t>Phase 14</t>
        </is>
      </c>
      <c r="B16" s="12" t="inlineStr">
        <is>
          <t>ADK Migration Assessment</t>
        </is>
      </c>
      <c r="C16" s="12">
        <f>COUNTIFS('Completed'!B:B,A16,'Completed'!C:C,B16)+COUNTIFS('In Progress'!B:B,A16,'In Progress'!C:C,B16)+COUNTIFS('Not Started'!B:B,A16,'Not Started'!C:C,B16)+COUNTIFS('Blocked'!B:B,A16,'Blocked'!C:C,B16)+COUNTIFS('Deferred'!B:B,A16,'Deferred'!C:C,B16)</f>
        <v/>
      </c>
      <c r="D16" s="12">
        <f>COUNTIFS('Completed'!B:B,A16,'Completed'!C:C,B16)</f>
        <v/>
      </c>
      <c r="E16" s="12">
        <f>COUNTIFS('In Progress'!B:B,A16,'In Progress'!C:C,B16)</f>
        <v/>
      </c>
      <c r="F16" s="12">
        <f>COUNTIFS('Blocked'!B:B,A16,'Blocked'!C:C,B16)</f>
        <v/>
      </c>
      <c r="G16" s="12">
        <f>COUNTIFS('Not Started'!B:B,A16,'Not Started'!C:C,B16)</f>
        <v/>
      </c>
      <c r="H16">
        <f>COUNTIFS('Completed'!B:B,A16,'Completed'!C:C,B16,'Completed'!E:E,"Waiting on Google Support")+COUNTIFS('In Progress'!B:B,A16,'In Progress'!C:C,B16,'In Progress'!E:E,"Waiting on Google Support")+COUNTIFS('Not Started'!B:B,A16,'Not Started'!C:C,B16,'Not Started'!E:E,"Waiting on Google Support")+COUNTIFS('Blocked'!B:B,A16,'Blocked'!C:C,B16,'Blocked'!E:E,"Waiting on Google Support")+COUNTIFS('Deferred'!B:B,A16,'Deferred'!C:C,B16,'Deferred'!E:E,"Waiting on Google Support")</f>
        <v/>
      </c>
    </row>
    <row r="17">
      <c r="A17" s="12" t="inlineStr">
        <is>
          <t>Final</t>
        </is>
      </c>
      <c r="B17" s="12" t="inlineStr">
        <is>
          <t>Final Production Approval</t>
        </is>
      </c>
      <c r="C17" s="12">
        <f>COUNTIFS('Completed'!B:B,A17,'Completed'!C:C,B17)+COUNTIFS('In Progress'!B:B,A17,'In Progress'!C:C,B17)+COUNTIFS('Not Started'!B:B,A17,'Not Started'!C:C,B17)+COUNTIFS('Blocked'!B:B,A17,'Blocked'!C:C,B17)+COUNTIFS('Deferred'!B:B,A17,'Deferred'!C:C,B17)</f>
        <v/>
      </c>
      <c r="D17" s="12">
        <f>COUNTIFS('Completed'!B:B,A17,'Completed'!C:C,B17)</f>
        <v/>
      </c>
      <c r="E17" s="12">
        <f>COUNTIFS('In Progress'!B:B,A17,'In Progress'!C:C,B17)</f>
        <v/>
      </c>
      <c r="F17" s="12">
        <f>COUNTIFS('Blocked'!B:B,A17,'Blocked'!C:C,B17)</f>
        <v/>
      </c>
      <c r="G17" s="12">
        <f>COUNTIFS('Not Started'!B:B,A17,'Not Started'!C:C,B17)</f>
        <v/>
      </c>
      <c r="H17">
        <f>COUNTIFS('Completed'!B:B,A17,'Completed'!C:C,B17,'Completed'!E:E,"Waiting on Google Support")+COUNTIFS('In Progress'!B:B,A17,'In Progress'!C:C,B17,'In Progress'!E:E,"Waiting on Google Support")+COUNTIFS('Not Started'!B:B,A17,'Not Started'!C:C,B17,'Not Started'!E:E,"Waiting on Google Support")+COUNTIFS('Blocked'!B:B,A17,'Blocked'!C:C,B17,'Blocked'!E:E,"Waiting on Google Support")+COUNTIFS('Deferred'!B:B,A17,'Deferred'!C:C,B17,'Deferred'!E:E,"Waiting on Google Support")</f>
        <v/>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2" customWidth="1" min="1" max="1"/>
    <col width="80" customWidth="1" min="2" max="2"/>
  </cols>
  <sheetData>
    <row r="1">
      <c r="A1" s="4" t="inlineStr">
        <is>
          <t>Field</t>
        </is>
      </c>
      <c r="B1" s="4" t="inlineStr">
        <is>
          <t>Value</t>
        </is>
      </c>
    </row>
    <row r="2">
      <c r="A2" t="inlineStr">
        <is>
          <t>Project</t>
        </is>
      </c>
      <c r="B2" t="inlineStr">
        <is>
          <t>GCP AI SRE Agent</t>
        </is>
      </c>
    </row>
    <row r="3">
      <c r="A3" t="inlineStr">
        <is>
          <t>Repository</t>
        </is>
      </c>
      <c r="B3" t="inlineStr">
        <is>
          <t>https://github.com/AshminPy/sre-agent-gateway</t>
        </is>
      </c>
    </row>
    <row r="4">
      <c r="A4" t="inlineStr">
        <is>
          <t>Reviewed</t>
        </is>
      </c>
      <c r="B4" t="inlineStr">
        <is>
          <t>2026-08-11</t>
        </is>
      </c>
    </row>
    <row r="5">
      <c r="A5" t="inlineStr">
        <is>
          <t>Statuses</t>
        </is>
      </c>
      <c r="B5" t="inlineStr">
        <is>
          <t>Completed | In Progress | Not Started | Blocked | Deferred | Waiting on Google Support</t>
        </is>
      </c>
    </row>
    <row r="6">
      <c r="A6" t="inlineStr">
        <is>
          <t>Priorities</t>
        </is>
      </c>
      <c r="B6" t="inlineStr">
        <is>
          <t>Critical | High | Medium | Low</t>
        </is>
      </c>
    </row>
    <row r="7">
      <c r="A7" t="inlineStr">
        <is>
          <t>Purpose</t>
        </is>
      </c>
      <c r="B7" t="inlineStr">
        <is>
          <t>Master project tracker for roadmap and production readiness.</t>
        </is>
      </c>
    </row>
    <row r="8">
      <c r="A8" t="inlineStr">
        <is>
          <t>How to use</t>
        </is>
      </c>
      <c r="B8" t="inlineStr">
        <is>
          <t>Rows now live on the Completed / In Progress / Not Started / Blocked / Deferred tabs (split 2026-08-24) -- update Status/Owner/Target Date there; move a row to a different tab if its Status changes. Summaries (Phase Summary, Dashboard) update automatically across all 5 tabs.</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K4"/>
  <sheetViews>
    <sheetView workbookViewId="0">
      <selection activeCell="A1" sqref="A1"/>
    </sheetView>
  </sheetViews>
  <sheetFormatPr baseColWidth="8" defaultRowHeight="15"/>
  <sheetData>
    <row r="1">
      <c r="A1" t="inlineStr">
        <is>
          <t>External ID</t>
        </is>
      </c>
      <c r="B1" t="inlineStr">
        <is>
          <t>Area</t>
        </is>
      </c>
      <c r="C1" t="inlineStr">
        <is>
          <t>Environment</t>
        </is>
      </c>
      <c r="D1" t="inlineStr">
        <is>
          <t>Description</t>
        </is>
      </c>
      <c r="E1" t="inlineStr">
        <is>
          <t>Impact</t>
        </is>
      </c>
      <c r="F1" t="inlineStr">
        <is>
          <t>Owner</t>
        </is>
      </c>
      <c r="G1" t="inlineStr">
        <is>
          <t>Status</t>
        </is>
      </c>
      <c r="H1" t="inlineStr">
        <is>
          <t>Production Blocker</t>
        </is>
      </c>
      <c r="I1" t="inlineStr">
        <is>
          <t>Required Action</t>
        </is>
      </c>
      <c r="J1" t="inlineStr">
        <is>
          <t>Validation Required</t>
        </is>
      </c>
      <c r="K1" t="inlineStr">
        <is>
          <t>Evidence / Notes</t>
        </is>
      </c>
    </row>
    <row r="2">
      <c r="A2" t="inlineStr">
        <is>
          <t>EXT-001</t>
        </is>
      </c>
      <c r="B2" t="inlineStr">
        <is>
          <t>K8s RBAC</t>
        </is>
      </c>
      <c r="C2" t="inlineStr">
        <is>
          <t>Work cluster: multitenant-us-east4-non-production, ns sre-agent-poc</t>
        </is>
      </c>
      <c r="D2" t="inlineStr">
        <is>
          <t>Agent needs read-only pod-log permission in the work namespace</t>
        </is>
      </c>
      <c r="E2" t="inlineStr">
        <is>
          <t>get_k8s_logs cannot retrieve application logs on this cluster</t>
        </is>
      </c>
      <c r="G2" t="inlineStr">
        <is>
          <t>Open</t>
        </is>
      </c>
      <c r="H2" t="inlineStr">
        <is>
          <t>Yes - Critical</t>
        </is>
      </c>
      <c r="I2" t="inlineStr">
        <is>
          <t>Grant least-privilege RBAC per the manual steps already provided (Role+RoleBinding, get/list/watch on pods, pods/log, events)</t>
        </is>
      </c>
      <c r="J2" t="inlineStr">
        <is>
          <t>A real get_k8s_logs call returns requested pod/container logs, not an auth error</t>
        </is>
      </c>
      <c r="K2" t="inlineStr">
        <is>
          <t>Environment onboarding item, not a sre-agent-gateway code bug. Manual remediation steps already provided separately. Not modified from this repo.</t>
        </is>
      </c>
    </row>
    <row r="3">
      <c r="A3" t="inlineStr">
        <is>
          <t>EXT-002</t>
        </is>
      </c>
      <c r="B3" t="inlineStr">
        <is>
          <t>Cluster onboarding</t>
        </is>
      </c>
      <c r="C3" t="inlineStr">
        <is>
          <t>Work environment generally</t>
        </is>
      </c>
      <c r="D3" t="inlineStr">
        <is>
          <t>Need a repeatable minimum-permission model so an engineer doesn't rediscover IAM/RBAC requirements per cluster</t>
        </is>
      </c>
      <c r="E3" t="inlineStr">
        <is>
          <t>Slower, error-prone onboarding of each new work cluster</t>
        </is>
      </c>
      <c r="G3" t="inlineStr">
        <is>
          <t>Open</t>
        </is>
      </c>
      <c r="H3" t="inlineStr">
        <is>
          <t>No - process gap, not a hard blocker for Milestone 1</t>
        </is>
      </c>
      <c r="I3" t="inlineStr">
        <is>
          <t>Document the minimum RBAC/IAM template (based on k8s/rbac.yaml's real, applied pattern) as a reusable checklist</t>
        </is>
      </c>
      <c r="J3" t="inlineStr">
        <is>
          <t>A second engineer onboards a cluster using only the documented steps, no rediscovery</t>
        </is>
      </c>
      <c r="K3" t="inlineStr">
        <is>
          <t>Ties to tracker row 72/77 (Cluster onboarding workflow, repeatable onboarding documentation)</t>
        </is>
      </c>
    </row>
    <row r="4">
      <c r="A4" t="inlineStr">
        <is>
          <t>EXT-003</t>
        </is>
      </c>
      <c r="B4" t="inlineStr">
        <is>
          <t>Multi-container evidence</t>
        </is>
      </c>
      <c r="C4" t="inlineStr">
        <is>
          <t>Work cluster (observed during real testing)</t>
        </is>
      </c>
      <c r="D4" t="inlineStr">
        <is>
          <t>Multi-container pods (app + Istio sidecar) affected evidence selection during real testing. Confirmed 2026-08-22: ALL workloads on target GKE Autopilot clusters run an Istio sidecar.</t>
        </is>
      </c>
      <c r="E4" t="inlineStr">
        <is>
          <t>Risk of incorrect RCA attribution when the wrong container's evidence is used</t>
        </is>
      </c>
      <c r="G4" t="inlineStr">
        <is>
          <t>Open</t>
        </is>
      </c>
      <c r="H4" t="inlineStr">
        <is>
          <t>Yes - Critical (every workload is affected, not an edge case)</t>
        </is>
      </c>
      <c r="I4" t="inlineStr">
        <is>
          <t>Internal fix tracked as tracker row 158 (Container-aware evidence collection and attribution); this row records the environment observation that made it a confirmed Milestone-1 requirement</t>
        </is>
      </c>
      <c r="J4" t="inlineStr">
        <is>
          <t>A controlled multi-container incident proves the agent selects/attributes evidence to the correct container and produces no false RCA</t>
        </is>
      </c>
      <c r="K4" t="inlineStr">
        <is>
          <t>Confirms tracker row 158's code gap is real in practice, not just in theory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65"/>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1</v>
      </c>
      <c r="B2" t="inlineStr">
        <is>
          <t>Phase 0</t>
        </is>
      </c>
      <c r="C2" t="inlineStr">
        <is>
          <t>Protect Current Working Setup</t>
        </is>
      </c>
      <c r="D2" t="inlineStr">
        <is>
          <t>Capture and document the known-good deployment</t>
        </is>
      </c>
      <c r="E2" t="inlineStr">
        <is>
          <t>Completed</t>
        </is>
      </c>
      <c r="F2" t="inlineStr">
        <is>
          <t>High</t>
        </is>
      </c>
      <c r="I2" t="inlineStr">
        <is>
          <t>Known-good deployment documented.</t>
        </is>
      </c>
    </row>
    <row r="3">
      <c r="A3" t="n">
        <v>3</v>
      </c>
      <c r="B3" t="inlineStr">
        <is>
          <t>Phase 0</t>
        </is>
      </c>
      <c r="C3" t="inlineStr">
        <is>
          <t>Protect Current Working Setup</t>
        </is>
      </c>
      <c r="D3" t="inlineStr">
        <is>
          <t>Back up/reference Agent Engine, Agent Identity, Agent Gateway and MCP configurations</t>
        </is>
      </c>
      <c r="E3" t="inlineStr">
        <is>
          <t>Completed</t>
        </is>
      </c>
      <c r="F3" t="inlineStr">
        <is>
          <t>High</t>
        </is>
      </c>
      <c r="I3" t="inlineStr">
        <is>
          <t>Configuration and architecture references exist.</t>
        </is>
      </c>
    </row>
    <row r="4">
      <c r="A4" t="n">
        <v>12</v>
      </c>
      <c r="B4" t="inlineStr">
        <is>
          <t>Phase 1</t>
        </is>
      </c>
      <c r="C4" t="inlineStr">
        <is>
          <t>Production Readiness</t>
        </is>
      </c>
      <c r="D4" t="inlineStr">
        <is>
          <t>Validate Agent Identity architecture</t>
        </is>
      </c>
      <c r="E4" t="inlineStr">
        <is>
          <t>Completed</t>
        </is>
      </c>
      <c r="F4" t="inlineStr">
        <is>
          <t>High</t>
        </is>
      </c>
      <c r="I4" t="inlineStr">
        <is>
          <t>Implemented.</t>
        </is>
      </c>
    </row>
    <row r="5">
      <c r="A5" t="n">
        <v>14</v>
      </c>
      <c r="B5" t="inlineStr">
        <is>
          <t>Phase 1</t>
        </is>
      </c>
      <c r="C5" t="inlineStr">
        <is>
          <t>Production Readiness</t>
        </is>
      </c>
      <c r="D5" t="inlineStr">
        <is>
          <t>Confirm Kubernetes access is read-only</t>
        </is>
      </c>
      <c r="E5" t="inlineStr">
        <is>
          <t>Completed</t>
        </is>
      </c>
      <c r="F5" t="inlineStr">
        <is>
          <t>Critical</t>
        </is>
      </c>
      <c r="I5" t="inlineStr">
        <is>
          <t>Read-only controls implemented.</t>
        </is>
      </c>
    </row>
    <row r="6">
      <c r="A6" t="n">
        <v>18</v>
      </c>
      <c r="B6" t="inlineStr">
        <is>
          <t>Phase 2</t>
        </is>
      </c>
      <c r="C6" t="inlineStr">
        <is>
          <t>Agent Gateway &amp; Model Armor</t>
        </is>
      </c>
      <c r="D6" t="inlineStr">
        <is>
          <t>Document Agent Gateway certificate issue and confirmed fix</t>
        </is>
      </c>
      <c r="E6" t="inlineStr">
        <is>
          <t>Completed</t>
        </is>
      </c>
      <c r="F6" t="inlineStr">
        <is>
          <t>Medium</t>
        </is>
      </c>
      <c r="I6" t="inlineStr">
        <is>
          <t>Earlier issue no longer blocks Terraform-managed path.</t>
        </is>
      </c>
    </row>
    <row r="7">
      <c r="A7" t="n">
        <v>19</v>
      </c>
      <c r="B7" t="inlineStr">
        <is>
          <t>Phase 2</t>
        </is>
      </c>
      <c r="C7" t="inlineStr">
        <is>
          <t>Agent Gateway &amp; Model Armor</t>
        </is>
      </c>
      <c r="D7" t="inlineStr">
        <is>
          <t>Confirm current Agent Gateway configuration</t>
        </is>
      </c>
      <c r="E7" t="inlineStr">
        <is>
          <t>Completed</t>
        </is>
      </c>
      <c r="F7" t="inlineStr">
        <is>
          <t>High</t>
        </is>
      </c>
      <c r="I7" t="inlineStr">
        <is>
          <t>Gateway deployed and working.</t>
        </is>
      </c>
    </row>
    <row r="8">
      <c r="A8" t="n">
        <v>27</v>
      </c>
      <c r="B8" t="inlineStr">
        <is>
          <t>Phase 3</t>
        </is>
      </c>
      <c r="C8" t="inlineStr">
        <is>
          <t>RCA Output &amp; Evidence</t>
        </is>
      </c>
      <c r="D8" t="inlineStr">
        <is>
          <t>Evidence-backed RCA</t>
        </is>
      </c>
      <c r="E8" t="inlineStr">
        <is>
          <t>Completed</t>
        </is>
      </c>
      <c r="F8" t="inlineStr">
        <is>
          <t>Critical</t>
        </is>
      </c>
      <c r="I8" t="inlineStr">
        <is>
          <t>Implemented.</t>
        </is>
      </c>
    </row>
    <row r="9">
      <c r="A9" t="n">
        <v>28</v>
      </c>
      <c r="B9" t="inlineStr">
        <is>
          <t>Phase 3</t>
        </is>
      </c>
      <c r="C9" t="inlineStr">
        <is>
          <t>RCA Output &amp; Evidence</t>
        </is>
      </c>
      <c r="D9" t="inlineStr">
        <is>
          <t>Evidence IDs on important RCA claims</t>
        </is>
      </c>
      <c r="E9" t="inlineStr">
        <is>
          <t>Completed</t>
        </is>
      </c>
      <c r="F9" t="inlineStr">
        <is>
          <t>Critical</t>
        </is>
      </c>
      <c r="I9" t="inlineStr">
        <is>
          <t>Implemented.</t>
        </is>
      </c>
    </row>
    <row r="10">
      <c r="A10" t="n">
        <v>29</v>
      </c>
      <c r="B10" t="inlineStr">
        <is>
          <t>Phase 3</t>
        </is>
      </c>
      <c r="C10" t="inlineStr">
        <is>
          <t>RCA Output &amp; Evidence</t>
        </is>
      </c>
      <c r="D10" t="inlineStr">
        <is>
          <t>Prevent unsupported conclusions from being confirmed</t>
        </is>
      </c>
      <c r="E10" t="inlineStr">
        <is>
          <t>Completed</t>
        </is>
      </c>
      <c r="F10" t="inlineStr">
        <is>
          <t>Critical</t>
        </is>
      </c>
      <c r="I10" t="inlineStr">
        <is>
          <t>Insufficient-evidence path exists.</t>
        </is>
      </c>
    </row>
    <row r="11">
      <c r="A11" t="n">
        <v>36</v>
      </c>
      <c r="B11" t="inlineStr">
        <is>
          <t>Phase 3</t>
        </is>
      </c>
      <c r="C11" t="inlineStr">
        <is>
          <t>RCA Output &amp; Evidence</t>
        </is>
      </c>
      <c r="D11" t="inlineStr">
        <is>
          <t>Human-approved remediation only</t>
        </is>
      </c>
      <c r="E11" t="inlineStr">
        <is>
          <t>Completed</t>
        </is>
      </c>
      <c r="F11" t="inlineStr">
        <is>
          <t>Critical</t>
        </is>
      </c>
      <c r="I11" t="inlineStr">
        <is>
          <t>Core design rule.</t>
        </is>
      </c>
    </row>
    <row r="12">
      <c r="A12" t="n">
        <v>37</v>
      </c>
      <c r="B12" t="inlineStr">
        <is>
          <t>Phase 4</t>
        </is>
      </c>
      <c r="C12" t="inlineStr">
        <is>
          <t>Dynamic Investigation &amp; Confidence</t>
        </is>
      </c>
      <c r="D12" t="inlineStr">
        <is>
          <t>Separate Investigation Completeness and Root Cause Confidence</t>
        </is>
      </c>
      <c r="E12" t="inlineStr">
        <is>
          <t>Completed</t>
        </is>
      </c>
      <c r="F12" t="inlineStr">
        <is>
          <t>Critical</t>
        </is>
      </c>
      <c r="I12" t="inlineStr">
        <is>
          <t>Two-score model implemented.</t>
        </is>
      </c>
    </row>
    <row r="13">
      <c r="A13" t="n">
        <v>38</v>
      </c>
      <c r="B13" t="inlineStr">
        <is>
          <t>Phase 4</t>
        </is>
      </c>
      <c r="C13" t="inlineStr">
        <is>
          <t>Dynamic Investigation &amp; Confidence</t>
        </is>
      </c>
      <c r="D13" t="inlineStr">
        <is>
          <t>Deterministic application-side confidence scoring</t>
        </is>
      </c>
      <c r="E13" t="inlineStr">
        <is>
          <t>Completed</t>
        </is>
      </c>
      <c r="F13" t="inlineStr">
        <is>
          <t>Critical</t>
        </is>
      </c>
      <c r="I13" t="inlineStr">
        <is>
          <t>Implemented and tested.</t>
        </is>
      </c>
    </row>
    <row r="14">
      <c r="A14" t="n">
        <v>44</v>
      </c>
      <c r="B14" t="inlineStr">
        <is>
          <t>Phase 4</t>
        </is>
      </c>
      <c r="C14" t="inlineStr">
        <is>
          <t>Dynamic Investigation &amp; Confidence</t>
        </is>
      </c>
      <c r="D14" t="inlineStr">
        <is>
          <t>Allow insufficient evidence / unknown cause</t>
        </is>
      </c>
      <c r="E14" t="inlineStr">
        <is>
          <t>Completed</t>
        </is>
      </c>
      <c r="F14" t="inlineStr">
        <is>
          <t>Critical</t>
        </is>
      </c>
      <c r="I14" t="inlineStr">
        <is>
          <t>Implemented.</t>
        </is>
      </c>
    </row>
    <row r="15">
      <c r="A15" t="n">
        <v>46</v>
      </c>
      <c r="B15" t="inlineStr">
        <is>
          <t>Phase 5</t>
        </is>
      </c>
      <c r="C15" t="inlineStr">
        <is>
          <t>Testing &amp; Evaluation</t>
        </is>
      </c>
      <c r="D15" t="inlineStr">
        <is>
          <t>Automated Python test suite</t>
        </is>
      </c>
      <c r="E15" t="inlineStr">
        <is>
          <t>Completed</t>
        </is>
      </c>
      <c r="F15" t="inlineStr">
        <is>
          <t>High</t>
        </is>
      </c>
      <c r="I15" t="inlineStr">
        <is>
          <t>Substantial coverage exists.</t>
        </is>
      </c>
    </row>
    <row r="16">
      <c r="A16" t="n">
        <v>47</v>
      </c>
      <c r="B16" t="inlineStr">
        <is>
          <t>Phase 5</t>
        </is>
      </c>
      <c r="C16" t="inlineStr">
        <is>
          <t>Testing &amp; Evaluation</t>
        </is>
      </c>
      <c r="D16" t="inlineStr">
        <is>
          <t>Terraform native tests</t>
        </is>
      </c>
      <c r="E16" t="inlineStr">
        <is>
          <t>Completed</t>
        </is>
      </c>
      <c r="F16" t="inlineStr">
        <is>
          <t>High</t>
        </is>
      </c>
      <c r="I16" t="inlineStr">
        <is>
          <t>Implemented.</t>
        </is>
      </c>
    </row>
    <row r="17">
      <c r="A17" t="n">
        <v>48</v>
      </c>
      <c r="B17" t="inlineStr">
        <is>
          <t>Phase 5</t>
        </is>
      </c>
      <c r="C17" t="inlineStr">
        <is>
          <t>Testing &amp; Evaluation</t>
        </is>
      </c>
      <c r="D17" t="inlineStr">
        <is>
          <t>Golden evaluation dataset</t>
        </is>
      </c>
      <c r="E17" t="inlineStr">
        <is>
          <t>Completed</t>
        </is>
      </c>
      <c r="F17" t="inlineStr">
        <is>
          <t>High</t>
        </is>
      </c>
      <c r="I17" t="inlineStr">
        <is>
          <t>Foundation dataset exists.</t>
        </is>
      </c>
    </row>
    <row r="18">
      <c r="A18" t="n">
        <v>49</v>
      </c>
      <c r="B18" t="inlineStr">
        <is>
          <t>Phase 5</t>
        </is>
      </c>
      <c r="C18" t="inlineStr">
        <is>
          <t>Testing &amp; Evaluation</t>
        </is>
      </c>
      <c r="D18" t="inlineStr">
        <is>
          <t>Evaluation runner</t>
        </is>
      </c>
      <c r="E18" t="inlineStr">
        <is>
          <t>Completed</t>
        </is>
      </c>
      <c r="F18" t="inlineStr">
        <is>
          <t>High</t>
        </is>
      </c>
      <c r="I18" t="inlineStr">
        <is>
          <t>Implemented.</t>
        </is>
      </c>
    </row>
    <row r="19">
      <c r="A19" t="n">
        <v>58</v>
      </c>
      <c r="B19" t="inlineStr">
        <is>
          <t>Phase 6</t>
        </is>
      </c>
      <c r="C19" t="inlineStr">
        <is>
          <t>Observability &amp; Reliability</t>
        </is>
      </c>
      <c r="D19" t="inlineStr">
        <is>
          <t>Structured logging</t>
        </is>
      </c>
      <c r="E19" t="inlineStr">
        <is>
          <t>Completed</t>
        </is>
      </c>
      <c r="F19" t="inlineStr">
        <is>
          <t>High</t>
        </is>
      </c>
      <c r="I19" t="inlineStr">
        <is>
          <t>Implemented.</t>
        </is>
      </c>
    </row>
    <row r="20">
      <c r="A20" t="n">
        <v>59</v>
      </c>
      <c r="B20" t="inlineStr">
        <is>
          <t>Phase 6</t>
        </is>
      </c>
      <c r="C20" t="inlineStr">
        <is>
          <t>Observability &amp; Reliability</t>
        </is>
      </c>
      <c r="D20" t="inlineStr">
        <is>
          <t>Distributed tracing foundation</t>
        </is>
      </c>
      <c r="E20" t="inlineStr">
        <is>
          <t>Completed</t>
        </is>
      </c>
      <c r="F20" t="inlineStr">
        <is>
          <t>High</t>
        </is>
      </c>
      <c r="I20" t="inlineStr">
        <is>
          <t>Implemented.</t>
        </is>
      </c>
    </row>
    <row r="21">
      <c r="A21" t="n">
        <v>60</v>
      </c>
      <c r="B21" t="inlineStr">
        <is>
          <t>Phase 6</t>
        </is>
      </c>
      <c r="C21" t="inlineStr">
        <is>
          <t>Observability &amp; Reliability</t>
        </is>
      </c>
      <c r="D21" t="inlineStr">
        <is>
          <t>Investigation/run IDs</t>
        </is>
      </c>
      <c r="E21" t="inlineStr">
        <is>
          <t>Completed</t>
        </is>
      </c>
      <c r="F21" t="inlineStr">
        <is>
          <t>High</t>
        </is>
      </c>
      <c r="I21" t="inlineStr">
        <is>
          <t>Implemented.</t>
        </is>
      </c>
    </row>
    <row r="22">
      <c r="A22" t="n">
        <v>61</v>
      </c>
      <c r="B22" t="inlineStr">
        <is>
          <t>Phase 6</t>
        </is>
      </c>
      <c r="C22" t="inlineStr">
        <is>
          <t>Observability &amp; Reliability</t>
        </is>
      </c>
      <c r="D22" t="inlineStr">
        <is>
          <t>Metrics and alert policies</t>
        </is>
      </c>
      <c r="E22" t="inlineStr">
        <is>
          <t>Completed</t>
        </is>
      </c>
      <c r="F22" t="inlineStr">
        <is>
          <t>High</t>
        </is>
      </c>
      <c r="I22" t="inlineStr">
        <is>
          <t>11 metrics and 11 alerts exist.</t>
        </is>
      </c>
    </row>
    <row r="23">
      <c r="A23" t="n">
        <v>62</v>
      </c>
      <c r="B23" t="inlineStr">
        <is>
          <t>Phase 6</t>
        </is>
      </c>
      <c r="C23" t="inlineStr">
        <is>
          <t>Observability &amp; Reliability</t>
        </is>
      </c>
      <c r="D23" t="inlineStr">
        <is>
          <t>Cloud Trace export restored and verified end-to-end</t>
        </is>
      </c>
      <c r="E23" t="inlineStr">
        <is>
          <t>Completed</t>
        </is>
      </c>
      <c r="F23" t="inlineStr">
        <is>
          <t>High</t>
        </is>
      </c>
      <c r="I23" t="inlineStr">
        <is>
          <t>Cloud Trace export restored and verified end-to-end -- 2026-08-13. Three root causes fixed (PR #136, #137): lazy tracer init losing setup race, wrong Cloud Trace hostname, wrong gRPC protocol binding for Cloud Trace. Live proof: run_20260813_222248_ybag -- flush_traces result=True, real trace ada23f5a144e8b327fe6fc51c3a426b4 with 54 correlated spans (outer + all LangGraph nodes + Gemini calls), metadata-only content confirmed. GitHub #130 and #29 closed. NOTE: this covers Cloud Trace ONLY -- the separate Cloud Logging observability-write 403 is NOT fixed by this work, tracked separately as tracker ID 152 / GitHub #139.</t>
        </is>
      </c>
    </row>
    <row r="24">
      <c r="A24" t="n">
        <v>65</v>
      </c>
      <c r="B24" t="inlineStr">
        <is>
          <t>Phase 6</t>
        </is>
      </c>
      <c r="C24" t="inlineStr">
        <is>
          <t>Observability &amp; Reliability</t>
        </is>
      </c>
      <c r="D24" t="inlineStr">
        <is>
          <t>Mitigate managed Reasoning Engine stream timeout / high investigation latency</t>
        </is>
      </c>
      <c r="E24" t="inlineStr">
        <is>
          <t>Completed</t>
        </is>
      </c>
      <c r="F24" t="inlineStr">
        <is>
          <t>Critical</t>
        </is>
      </c>
      <c r="I24" t="inlineStr">
        <is>
          <t>RESOLVED 2026-08-15 via native stream_query() (PR #160, merge commit 0a15f93). Deployment: Agent Engine updated in place (Terraform 0 add/1 change/0 destroy, Agent Engine ID 7801582006105538560 unchanged, createTime unchanged, Agent Identity and Agent Gateway attachment preserved). Live E2E run_id run_20260815_121835_mmmq: 315.3s duration (past the original ~300s transport boundary), 34 stream progress events, 5 real GKE Remote MCP tool calls/evidence collected, truthful final RCA returned, no stream-timeout error. Native streaming (--stream-query) is now the supported long-running invocation path. Synchronous query() remains available but keeps its known ~300s managed transport limit. asyncQuery/run_query_job (#156) stays in repo, experimental/Google-blocked, not required for this resolution. Follow-up (separate, does not reopen this): Cloud Trace span-fragmentation regression found during validation, tracked as new issue #161 -- not yet added as its own tracker row, pending approval.</t>
        </is>
      </c>
    </row>
    <row r="25">
      <c r="A25" t="n">
        <v>69</v>
      </c>
      <c r="B25" t="inlineStr">
        <is>
          <t>Phase 7</t>
        </is>
      </c>
      <c r="C25" t="inlineStr">
        <is>
          <t>Multi-Cluster Scalability</t>
        </is>
      </c>
      <c r="D25" t="inlineStr">
        <is>
          <t>Multi-cluster registry</t>
        </is>
      </c>
      <c r="E25" t="inlineStr">
        <is>
          <t>Completed</t>
        </is>
      </c>
      <c r="F25" t="inlineStr">
        <is>
          <t>Critical</t>
        </is>
      </c>
      <c r="I25" t="inlineStr">
        <is>
          <t>Terraform-managed registry implemented.</t>
        </is>
      </c>
    </row>
    <row r="26">
      <c r="A26" t="n">
        <v>70</v>
      </c>
      <c r="B26" t="inlineStr">
        <is>
          <t>Phase 7</t>
        </is>
      </c>
      <c r="C26" t="inlineStr">
        <is>
          <t>Multi-Cluster Scalability</t>
        </is>
      </c>
      <c r="D26" t="inlineStr">
        <is>
          <t>Prevent Terraform from removing registered clusters accidentally</t>
        </is>
      </c>
      <c r="E26" t="inlineStr">
        <is>
          <t>Completed</t>
        </is>
      </c>
      <c r="F26" t="inlineStr">
        <is>
          <t>Critical</t>
        </is>
      </c>
      <c r="I26" t="inlineStr">
        <is>
          <t>Registry ownership bug fixed.</t>
        </is>
      </c>
    </row>
    <row r="27">
      <c r="A27" t="n">
        <v>71</v>
      </c>
      <c r="B27" t="inlineStr">
        <is>
          <t>Phase 7</t>
        </is>
      </c>
      <c r="C27" t="inlineStr">
        <is>
          <t>Multi-Cluster Scalability</t>
        </is>
      </c>
      <c r="D27" t="inlineStr">
        <is>
          <t>Deterministic cluster-type routing</t>
        </is>
      </c>
      <c r="E27" t="inlineStr">
        <is>
          <t>Completed</t>
        </is>
      </c>
      <c r="F27" t="inlineStr">
        <is>
          <t>Critical</t>
        </is>
      </c>
      <c r="I27" t="inlineStr">
        <is>
          <t>Implemented.</t>
        </is>
      </c>
    </row>
    <row r="28">
      <c r="A28" t="n">
        <v>73</v>
      </c>
      <c r="B28" t="inlineStr">
        <is>
          <t>Phase 7</t>
        </is>
      </c>
      <c r="C28" t="inlineStr">
        <is>
          <t>Multi-Cluster Scalability</t>
        </is>
      </c>
      <c r="D28" t="inlineStr">
        <is>
          <t>Unknown/missing-cluster safe-stop validation</t>
        </is>
      </c>
      <c r="E28" t="inlineStr">
        <is>
          <t>Completed</t>
        </is>
      </c>
      <c r="F28" t="inlineStr">
        <is>
          <t>Critical</t>
        </is>
      </c>
      <c r="I28" t="inlineStr">
        <is>
          <t>PR #108 merged (d5fe1b2a), deployed (run 31585553325, engine 7801582006105538560 updated in-place, confirmed not recreated). Live E2E test run_20260812_101219_mbwh: all 7 required checks passed with log-level evidence -- loop_exit_reason=cluster_unresolved, cluster_routing_method=unresolved, zero MCP/tool calls (node sequence proves it), zero memory recall/save, truthful response, no unsupported root cause. Issue #73 closed.</t>
        </is>
      </c>
    </row>
    <row r="29">
      <c r="A29" t="n">
        <v>78</v>
      </c>
      <c r="B29" t="inlineStr">
        <is>
          <t>Phase 8</t>
        </is>
      </c>
      <c r="C29" t="inlineStr">
        <is>
          <t>MCP Tool Architecture</t>
        </is>
      </c>
      <c r="D29" t="inlineStr">
        <is>
          <t>GKE Remote MCP primary source</t>
        </is>
      </c>
      <c r="E29" t="inlineStr">
        <is>
          <t>Completed</t>
        </is>
      </c>
      <c r="F29" t="inlineStr">
        <is>
          <t>Critical</t>
        </is>
      </c>
      <c r="I29" t="inlineStr">
        <is>
          <t>Working.</t>
        </is>
      </c>
    </row>
    <row r="30">
      <c r="A30" t="n">
        <v>79</v>
      </c>
      <c r="B30" t="inlineStr">
        <is>
          <t>Phase 8</t>
        </is>
      </c>
      <c r="C30" t="inlineStr">
        <is>
          <t>MCP Tool Architecture</t>
        </is>
      </c>
      <c r="D30" t="inlineStr">
        <is>
          <t>MCP registry and deterministic routing</t>
        </is>
      </c>
      <c r="E30" t="inlineStr">
        <is>
          <t>Completed</t>
        </is>
      </c>
      <c r="F30" t="inlineStr">
        <is>
          <t>Critical</t>
        </is>
      </c>
      <c r="I30" t="inlineStr">
        <is>
          <t>Implemented.</t>
        </is>
      </c>
    </row>
    <row r="31">
      <c r="A31" t="n">
        <v>80</v>
      </c>
      <c r="B31" t="inlineStr">
        <is>
          <t>Phase 8</t>
        </is>
      </c>
      <c r="C31" t="inlineStr">
        <is>
          <t>MCP Tool Architecture</t>
        </is>
      </c>
      <c r="D31" t="inlineStr">
        <is>
          <t>Custom read-only Kubernetes MCP code</t>
        </is>
      </c>
      <c r="E31" t="inlineStr">
        <is>
          <t>Completed</t>
        </is>
      </c>
      <c r="F31" t="inlineStr">
        <is>
          <t>High</t>
        </is>
      </c>
      <c r="I31" t="inlineStr">
        <is>
          <t>Code exists with mutation guards.</t>
        </is>
      </c>
    </row>
    <row r="32">
      <c r="A32" t="n">
        <v>87</v>
      </c>
      <c r="B32" t="inlineStr">
        <is>
          <t>Phase 8</t>
        </is>
      </c>
      <c r="C32" t="inlineStr">
        <is>
          <t>MCP Tool Architecture</t>
        </is>
      </c>
      <c r="D32" t="inlineStr">
        <is>
          <t>Prevent arbitrary shell/write operations</t>
        </is>
      </c>
      <c r="E32" t="inlineStr">
        <is>
          <t>Completed</t>
        </is>
      </c>
      <c r="F32" t="inlineStr">
        <is>
          <t>Critical</t>
        </is>
      </c>
      <c r="I32" t="inlineStr">
        <is>
          <t>Read-only controls exist.</t>
        </is>
      </c>
    </row>
    <row r="33">
      <c r="A33" t="n">
        <v>88</v>
      </c>
      <c r="B33" t="inlineStr">
        <is>
          <t>Phase 9</t>
        </is>
      </c>
      <c r="C33" t="inlineStr">
        <is>
          <t>Cost &amp; Performance</t>
        </is>
      </c>
      <c r="D33" t="inlineStr">
        <is>
          <t>Detailed token telemetry</t>
        </is>
      </c>
      <c r="E33" t="inlineStr">
        <is>
          <t>Completed</t>
        </is>
      </c>
      <c r="F33" t="inlineStr">
        <is>
          <t>High</t>
        </is>
      </c>
      <c r="I33" t="inlineStr">
        <is>
          <t>Per-call and per-run telemetry exists.</t>
        </is>
      </c>
    </row>
    <row r="34">
      <c r="A34" t="n">
        <v>116</v>
      </c>
      <c r="B34" t="inlineStr">
        <is>
          <t>Phase 13</t>
        </is>
      </c>
      <c r="C34" t="inlineStr">
        <is>
          <t>Security &amp; Supply Chain</t>
        </is>
      </c>
      <c r="D34" t="inlineStr">
        <is>
          <t>Agent Identity / no static service-account keys</t>
        </is>
      </c>
      <c r="E34" t="inlineStr">
        <is>
          <t>Completed</t>
        </is>
      </c>
      <c r="F34" t="inlineStr">
        <is>
          <t>Critical</t>
        </is>
      </c>
      <c r="I34" t="inlineStr">
        <is>
          <t>Implemented.</t>
        </is>
      </c>
    </row>
    <row r="35">
      <c r="A35" t="n">
        <v>117</v>
      </c>
      <c r="B35" t="inlineStr">
        <is>
          <t>Phase 13</t>
        </is>
      </c>
      <c r="C35" t="inlineStr">
        <is>
          <t>Security &amp; Supply Chain</t>
        </is>
      </c>
      <c r="D35" t="inlineStr">
        <is>
          <t>Read-only Kubernetes tooling</t>
        </is>
      </c>
      <c r="E35" t="inlineStr">
        <is>
          <t>Completed</t>
        </is>
      </c>
      <c r="F35" t="inlineStr">
        <is>
          <t>Critical</t>
        </is>
      </c>
      <c r="I35" t="inlineStr">
        <is>
          <t>Implemented.</t>
        </is>
      </c>
    </row>
    <row r="36">
      <c r="A36" t="n">
        <v>137</v>
      </c>
      <c r="B36" t="inlineStr">
        <is>
          <t>Phase 1</t>
        </is>
      </c>
      <c r="C36" t="inlineStr">
        <is>
          <t>Production Readiness</t>
        </is>
      </c>
      <c r="D36" t="inlineStr">
        <is>
          <t>Issue #31: SSE parser can silently return an empty first frame as success -- workflow/output correctness risk</t>
        </is>
      </c>
      <c r="E36" t="inlineStr">
        <is>
          <t>Completed</t>
        </is>
      </c>
      <c r="F36" t="inlineStr">
        <is>
          <t>High</t>
        </is>
      </c>
      <c r="I36" t="inlineStr">
        <is>
          <t>Fixed and deployed 2026-08-12 (PR #111, commit d4646d7). 6 new tests, full suite 153/153. Deploy confirmed update-in-place. Live regression evidence via CI smoke test (real MCP round-trip, mcp_latency_s=3.49, SMOKE TEST PASSED) plus a manual live run whose 3 MCP calls all succeeded before an unrelated timeout. Issue #31 closed.</t>
        </is>
      </c>
    </row>
    <row r="37">
      <c r="A37" t="n">
        <v>138</v>
      </c>
      <c r="B37" t="inlineStr">
        <is>
          <t>Phase 1</t>
        </is>
      </c>
      <c r="C37" t="inlineStr">
        <is>
          <t>Production Readiness</t>
        </is>
      </c>
      <c r="D37" t="inlineStr">
        <is>
          <t>Issue #87: Terraform gateway self-heal can auto-recreate the production Reasoning Engine unattended -- infrastructure/deployment safety risk</t>
        </is>
      </c>
      <c r="E37" t="inlineStr">
        <is>
          <t>Completed</t>
        </is>
      </c>
      <c r="F37" t="inlineStr">
        <is>
          <t>High</t>
        </is>
      </c>
      <c r="I37" t="inlineStr">
        <is>
          <t>Correction 2026-08-12: user caught that this was already fixed. The self-heal -replace= auto-recreate step this issue described was removed the day after filing (2026-08-10, PR #93) as a side effect of an unrelated migration -- gateway attach moved to native Terraform management. Confirmed via repo-wide grep: no -replace= or self-heal pattern exists anywhere. Issue #87 closed with evidence. Never actually required implementation work.</t>
        </is>
      </c>
    </row>
    <row r="38">
      <c r="A38" t="n">
        <v>139</v>
      </c>
      <c r="B38" t="inlineStr">
        <is>
          <t>Phase 1</t>
        </is>
      </c>
      <c r="C38" t="inlineStr">
        <is>
          <t>Production Readiness</t>
        </is>
      </c>
      <c r="D38" t="inlineStr">
        <is>
          <t>Issue #64: google_billing_budget shown in architecture docs is not provisioned in Terraform</t>
        </is>
      </c>
      <c r="E38" t="inlineStr">
        <is>
          <t>Completed</t>
        </is>
      </c>
      <c r="F38" t="inlineStr">
        <is>
          <t>Low</t>
        </is>
      </c>
      <c r="I38" t="inlineStr">
        <is>
          <t>Closed 2026-08-12, no code change needed -- docs/governance/cost-management.md (verified 2026-08-08) already correctly states cost tooling is PLANNED, never claimed an automated budget alert exists. Confirmed no google_billing_budget resource anywhere in iac/. Real automated budget alerting deferred as a separate future decision (financial/IAM scope), not bundled here.</t>
        </is>
      </c>
    </row>
    <row r="39">
      <c r="A39" t="n">
        <v>140</v>
      </c>
      <c r="B39" t="inlineStr">
        <is>
          <t>Phase 1</t>
        </is>
      </c>
      <c r="C39" t="inlineStr">
        <is>
          <t>Production Readiness</t>
        </is>
      </c>
      <c r="D39" t="inlineStr">
        <is>
          <t>Issue #92: Agent has no pod-log-read permission on the target GKE cluster -- logs unavailable for every incident</t>
        </is>
      </c>
      <c r="E39" t="inlineStr">
        <is>
          <t>Completed</t>
        </is>
      </c>
      <c r="F39" t="inlineStr">
        <is>
          <t>P0-quick-fix</t>
        </is>
      </c>
      <c r="I39" t="inlineStr">
        <is>
          <t>Corrected + live-validated 2026-08-12. Real root cause was NOT a missing IAM permission -- a K8s-native RoleBinding already existed on the cluster (applied 2026-07-28) but was bound to a stale reasoning-engine ID from before a redeploy. Fixed by updating the RoleBinding subject to the current engine ID, checked into k8s/rbac.yaml (PR #121), applied live. Verified: kubectl auth can-i get pods/log --as=&lt;current engine&gt; now returns yes (was no). Reverted the earlier Cloud IAM custom-role approach (PR #118) as unnecessary duplicate infra -- never actually deployed. Full end-to-end agent test blocked by a separate CPUS_ALL_REGIONS=12 quota (cost guardrail on personal account, not raised) -- kubectl auth can-i accepted as sufficient live evidence per user confirmation.</t>
        </is>
      </c>
    </row>
    <row r="40">
      <c r="A40" t="n">
        <v>141</v>
      </c>
      <c r="B40" t="inlineStr">
        <is>
          <t>Phase 1</t>
        </is>
      </c>
      <c r="C40" t="inlineStr">
        <is>
          <t>Production Readiness</t>
        </is>
      </c>
      <c r="D40" t="inlineStr">
        <is>
          <t>Issue #67: resource_identity_match only checks cluster, ignoring namespace and pod</t>
        </is>
      </c>
      <c r="E40" t="inlineStr">
        <is>
          <t>Completed</t>
        </is>
      </c>
      <c r="F40" t="inlineStr">
        <is>
          <t>P1-small-fix</t>
        </is>
      </c>
      <c r="I40" t="inlineStr">
        <is>
          <t>Fixed 2026-08-12 (PR #125). resource_identity_match now checks namespace/pod via evidence resource_id field, not just cluster. 2 new regression tests, full suite 190/190 pass, deployed live via CI apply.</t>
        </is>
      </c>
    </row>
    <row r="41">
      <c r="A41" t="n">
        <v>142</v>
      </c>
      <c r="B41" t="inlineStr">
        <is>
          <t>Phase 1</t>
        </is>
      </c>
      <c r="C41" t="inlineStr">
        <is>
          <t>Production Readiness</t>
        </is>
      </c>
      <c r="D41" t="inlineStr">
        <is>
          <t>Issue #68: time_correlation and freshness scoring do not evaluate real evidence timestamps</t>
        </is>
      </c>
      <c r="E41" t="inlineStr">
        <is>
          <t>Completed</t>
        </is>
      </c>
      <c r="F41" t="inlineStr">
        <is>
          <t>P1-small-fix</t>
        </is>
      </c>
      <c r="I41" t="inlineStr">
        <is>
          <t>Fixed 2026-08-12 (PR #125). evidence_extractor.py now stamps real collected_at per evidence item; freshness/time_correlation use it instead of investigation-start proxy / flat binary. 4 new regression tests.</t>
        </is>
      </c>
    </row>
    <row r="42">
      <c r="A42" t="n">
        <v>143</v>
      </c>
      <c r="B42" t="inlineStr">
        <is>
          <t>Phase 1</t>
        </is>
      </c>
      <c r="C42" t="inlineStr">
        <is>
          <t>Production Readiness</t>
        </is>
      </c>
      <c r="D42" t="inlineStr">
        <is>
          <t>Issue #69: investigation loop can exit while required evidence domains are still missing</t>
        </is>
      </c>
      <c r="E42" t="inlineStr">
        <is>
          <t>Completed</t>
        </is>
      </c>
      <c r="F42" t="inlineStr">
        <is>
          <t>P1-small-fix</t>
        </is>
      </c>
      <c r="I42" t="inlineStr">
        <is>
          <t>Fixed 2026-08-12 (PR #125). Loop no longer exits on enough_evidence=True when missing_required_domains is non-empty and budget remains -- forces one more iteration. Real E2E proof cited in issue. 4 new regression tests.</t>
        </is>
      </c>
    </row>
    <row r="43">
      <c r="A43" t="n">
        <v>144</v>
      </c>
      <c r="B43" t="inlineStr">
        <is>
          <t>Phase 1</t>
        </is>
      </c>
      <c r="C43" t="inlineStr">
        <is>
          <t>Production Readiness</t>
        </is>
      </c>
      <c r="D43" t="inlineStr">
        <is>
          <t>Issue #70: agent does not act on its own generated next investigative step before concluding</t>
        </is>
      </c>
      <c r="E43" t="inlineStr">
        <is>
          <t>Completed</t>
        </is>
      </c>
      <c r="F43" t="inlineStr">
        <is>
          <t>P1-small-fix</t>
        </is>
      </c>
      <c r="I43" t="inlineStr">
        <is>
          <t>Partially fixed 2026-08-12 (PR #125) -- broaden-and-retry on NotFound added for list_k8s_events. Second half (force suggested tool call) covered by #69 fix instead (same root symptom, stronger mechanism). Issue auto-closed as a side effect of commit message wording -- see corrective comment on the issue. 6 new regression tests.</t>
        </is>
      </c>
    </row>
    <row r="44">
      <c r="A44" t="n">
        <v>145</v>
      </c>
      <c r="B44" t="inlineStr">
        <is>
          <t>Phase 1</t>
        </is>
      </c>
      <c r="C44" t="inlineStr">
        <is>
          <t>Production Readiness</t>
        </is>
      </c>
      <c r="D44" t="inlineStr">
        <is>
          <t>Issue #71: MCP fallback audit trail records the requested tool, not what actually executed</t>
        </is>
      </c>
      <c r="E44" t="inlineStr">
        <is>
          <t>Completed</t>
        </is>
      </c>
      <c r="F44" t="inlineStr">
        <is>
          <t>P1-small-fix</t>
        </is>
      </c>
      <c r="I44" t="inlineStr">
        <is>
          <t>Fixed 2026-08-12 (PR #125). tool_history/latest_tool_result now record call_tool()'s actual executed tool/mcp_source, not the pre-call request. 3 new regression tests.</t>
        </is>
      </c>
    </row>
    <row r="45">
      <c r="A45" t="n">
        <v>146</v>
      </c>
      <c r="B45" t="inlineStr">
        <is>
          <t>Phase 1</t>
        </is>
      </c>
      <c r="C45" t="inlineStr">
        <is>
          <t>Production Readiness</t>
        </is>
      </c>
      <c r="D45" t="inlineStr">
        <is>
          <t>Issue #72: MCP fallback does not trigger on network errors and has an invalid tool mapping</t>
        </is>
      </c>
      <c r="E45" t="inlineStr">
        <is>
          <t>Completed</t>
        </is>
      </c>
      <c r="F45" t="inlineStr">
        <is>
          <t>P1-small-fix</t>
        </is>
      </c>
      <c r="I45" t="inlineStr">
        <is>
          <t>Fixed 2026-08-12 (PR #125). Fallback now fires on network exceptions and empty responses too (not just non-200 status); removed 2 semantically-invalid tool mappings (get_k8s_cluster_info/list_k8s_api_resources -&gt; list_pods); pod_name only sent to fallback targets that accept it. 9 new regression tests.</t>
        </is>
      </c>
    </row>
    <row r="46">
      <c r="A46" t="n">
        <v>147</v>
      </c>
      <c r="B46" t="inlineStr">
        <is>
          <t>Phase 1</t>
        </is>
      </c>
      <c r="C46" t="inlineStr">
        <is>
          <t>Production Readiness</t>
        </is>
      </c>
      <c r="D46" t="inlineStr">
        <is>
          <t>Issue #74: Gemini token/cost/latency counters are process-global, not scoped per investigation</t>
        </is>
      </c>
      <c r="E46" t="inlineStr">
        <is>
          <t>Completed</t>
        </is>
      </c>
      <c r="F46" t="inlineStr">
        <is>
          <t>P1-small-fix</t>
        </is>
      </c>
      <c r="I46" t="inlineStr">
        <is>
          <t>Fixed 2026-08-12 (PR #127). GeminiAdapter is cached process-wide and reused across investigations -- added reset_session(), called at the start of every investigation in agent/main.py investigate(). 5 new regression tests, full suite 195/195 pass.</t>
        </is>
      </c>
    </row>
    <row r="47">
      <c r="A47" t="n">
        <v>148</v>
      </c>
      <c r="B47" t="inlineStr">
        <is>
          <t>Phase 1</t>
        </is>
      </c>
      <c r="C47" t="inlineStr">
        <is>
          <t>Production Readiness</t>
        </is>
      </c>
      <c r="D47" t="inlineStr">
        <is>
          <t>Issue #75: Duplicate completion log events not scoped by logName can double-count metrics</t>
        </is>
      </c>
      <c r="E47" t="inlineStr">
        <is>
          <t>Completed</t>
        </is>
      </c>
      <c r="F47" t="inlineStr">
        <is>
          <t>P1-small-fix</t>
        </is>
      </c>
      <c r="I47" t="inlineStr">
        <is>
          <t>Fixed 2026-08-12 (PR #127). 8 of 9 completion-related log-based metrics in monitoring.tf were double-counting (2 separate completion events share overlapping field names). Restricted to event_type="sre_agent_run", matching the #63 token_usage fix. 9 new terraform tests, terraform plan clean (8 metrics update in-place).</t>
        </is>
      </c>
    </row>
    <row r="48">
      <c r="A48" t="n">
        <v>149</v>
      </c>
      <c r="B48" t="inlineStr">
        <is>
          <t>Phase 1</t>
        </is>
      </c>
      <c r="C48" t="inlineStr">
        <is>
          <t>Production Readiness</t>
        </is>
      </c>
      <c r="D48" t="inlineStr">
        <is>
          <t>Issue #76: Full prompt/response content capture enabled in tracing at 100% sample rate</t>
        </is>
      </c>
      <c r="E48" t="inlineStr">
        <is>
          <t>Completed</t>
        </is>
      </c>
      <c r="F48" t="inlineStr">
        <is>
          <t>P1-small-fix</t>
        </is>
      </c>
      <c r="I48" t="inlineStr">
        <is>
          <t>Completed 2026-08-13 (PR #133). Corrected compliance review found 3 more real content-capture paths beyond the original flag: agent/main.py sre.query span attribute (raw query text), agent/otel.py trace_node() exception handling (record_exception/Status/sre.node.error all sent exception message text), and both spans defaulted to OTel start_as_current_span()'s record_exception=True (auto-captures exception message on re-raise, independent of explicit handling -- caught by this PR's own regression test failing on first run). All fixed: sre.query removed, only exception TYPE recorded (sre.node.error_type), record_exception=False/set_status_on_exception=False on both span-creation sites. 3 new Python tests (real in-process OTel TracerProvider + InMemorySpanExporter, unique secret marker proven absent from all span data) + 2 new terraform tests. Full suite 200/200, terraform test 25/25, terraform plan clean. Deployed, Agent Engine ID unchanged (7801582006105538560). Live-queried the real deployed resource directly (Vertex AI REST API, not just terraform state): OTEL_INSTRUMENTATION_GENAI_CAPTURE_MESSAGE_CONTENT=false, OTEL_TRACES_SAMPLER_ARG=1.0 confirmed. Does NOT claim working Cloud Trace was validated -- #130 (Cloud Trace export appears broken) is separate and stays open.</t>
        </is>
      </c>
    </row>
    <row r="49">
      <c r="A49" t="n">
        <v>151</v>
      </c>
      <c r="B49" t="inlineStr">
        <is>
          <t>Phase 1</t>
        </is>
      </c>
      <c r="C49" t="inlineStr">
        <is>
          <t>Production Readiness</t>
        </is>
      </c>
      <c r="D49" t="inlineStr">
        <is>
          <t>Issue #91: Evidence-domain coverage credits failed tool calls as if they succeeded</t>
        </is>
      </c>
      <c r="E49" t="inlineStr">
        <is>
          <t>Completed</t>
        </is>
      </c>
      <c r="F49" t="inlineStr">
        <is>
          <t>P0-quick-fix</t>
        </is>
      </c>
      <c r="I49" t="inlineStr">
        <is>
          <t>Fixed 2026-08-13 (PR #131, merged as part of a bundled branch -- see PR for note). _evidence_domains_present() now excludes ev.get("ok")==False entries, fixing both required_evidence_coverage and independent_corroboration. 2 new regression tests, full suite 197/197 pass. Deployed, Agent Engine ID unchanged (7801582006105538560).</t>
        </is>
      </c>
    </row>
    <row r="50">
      <c r="A50" t="n">
        <v>152</v>
      </c>
      <c r="B50" t="inlineStr">
        <is>
          <t>Phase 6</t>
        </is>
      </c>
      <c r="C50" t="inlineStr">
        <is>
          <t>Observability &amp; Reliability</t>
        </is>
      </c>
      <c r="D50" t="inlineStr">
        <is>
          <t>Fix persistent Cloud Logging observability-write 403 (rca_builder.py)</t>
        </is>
      </c>
      <c r="E50" t="inlineStr">
        <is>
          <t>Completed</t>
        </is>
      </c>
      <c r="F50" t="inlineStr">
        <is>
          <t>P2-medium-fix</t>
        </is>
      </c>
      <c r="I50" t="inlineStr">
        <is>
          <t>RESOLVED 2026-08-23. Root cause: default gRPC transport never resolved a registry match through Agent Gateway (agentGatewayInfo empty on every real call, unlike every other working destination). Fix: cloud_logging.Client(_use_grpc=False), matched by re-registering us-central1-logging as protocolBinding=HTTP_JSON (Cloud Trace untouched). Live-verified 3/3 clean deployed investigations (run_20260823_163628_epvi, run_20260823_164050_ltcl, run_20260823_164258_wrjv) -- real entries now in sre-agent-investigations, which had zero entries in 180 days before. PRs #174 (controlled test), #175 (rolled to all 4 sites). Corrects a wrong repo assumption that google-cloud-logging is gRPC-only -- it isn't, confirmed against the installed 3.15.0 client.</t>
        </is>
      </c>
    </row>
    <row r="51">
      <c r="A51" t="n">
        <v>153</v>
      </c>
      <c r="B51" t="inlineStr">
        <is>
          <t>Phase 6</t>
        </is>
      </c>
      <c r="C51" t="inlineStr">
        <is>
          <t>Observability &amp; Reliability</t>
        </is>
      </c>
      <c r="D51" t="inlineStr">
        <is>
          <t>Fix Cloud Trace span fragmentation in native stream_query() investigations</t>
        </is>
      </c>
      <c r="E51" t="inlineStr">
        <is>
          <t>Completed</t>
        </is>
      </c>
      <c r="F51" t="inlineStr">
        <is>
          <t>High</t>
        </is>
      </c>
      <c r="I51" t="inlineStr">
        <is>
          <t>Fixed 2026-08-15 (PR #163, merge commit 7f02061). Root cause: investigate_stream()'s outer sre_agent.investigation OTel context was lost across the generator's own yield/resume boundary -- confirmed via a live diagnostic deployment (PR #162) showing context valid through points A/B, invalid immediately after the first yield (point C), same OS thread throughout. Fix: explicit OTel context capture/reattach around every graph.stream() iterator advancement in agent/main.py. Verified live: run_20260815_230251_iwqp produced one correlated trace with all 54 spans (sre_agent.investigation -&gt; langgraph.* -&gt; gen_ai.chat), matching the #130-validated synchronous baseline span count. GitHub #161 closed.</t>
        </is>
      </c>
    </row>
    <row r="52">
      <c r="A52" t="n">
        <v>155</v>
      </c>
      <c r="B52" t="inlineStr">
        <is>
          <t>Phase 1</t>
        </is>
      </c>
      <c r="C52" t="inlineStr">
        <is>
          <t>Production Readiness</t>
        </is>
      </c>
      <c r="D52" t="inlineStr">
        <is>
          <t>Issue #77: CI runs no tests, linting, or security scanning on pull requests</t>
        </is>
      </c>
      <c r="E52" t="inlineStr">
        <is>
          <t>Completed</t>
        </is>
      </c>
      <c r="F52" t="inlineStr">
        <is>
          <t>P2-medium-fix</t>
        </is>
      </c>
      <c r="I52" t="inlineStr">
        <is>
          <t>Fixed and deployed (PR #141): python-tests.yml added -- pytest, blocking ruff, pip-audit, a separate mcp-pytest job. Live-validated 2026-08-20: deploy run https://github.com/AshminPy/sre-agent-gateway/actions/runs/32427392189 -- a real investigation (imagepull scenario) completed in ~90s with a correct root cause and no #103-style timeout, the required clean canary. GitHub #77 closed.</t>
        </is>
      </c>
    </row>
    <row r="53">
      <c r="A53" t="n">
        <v>156</v>
      </c>
      <c r="B53" t="inlineStr">
        <is>
          <t>Phase 1</t>
        </is>
      </c>
      <c r="C53" t="inlineStr">
        <is>
          <t>Production Readiness</t>
        </is>
      </c>
      <c r="D53" t="inlineStr">
        <is>
          <t>Issue #78: CI path filters skip tests/, scripts/, eval/, and iac/gke-access/</t>
        </is>
      </c>
      <c r="E53" t="inlineStr">
        <is>
          <t>Completed</t>
        </is>
      </c>
      <c r="F53" t="inlineStr">
        <is>
          <t>P2-medium-fix</t>
        </is>
      </c>
      <c r="I53" t="inlineStr">
        <is>
          <t>Fixed and deployed (PR #141), scoped correctly per its own 2026-08-14 Correction: eval/** and iac/gke-access/** intentionally excluded (iac/gke-access is a separate Terraform stack; both terraform workflows run working-directory: iac/agent, so adding that path would validate the wrong stack -- deferred to a later, unfiled audit item, not this issue). Live-validated by the same canary as #77: https://github.com/AshminPy/sre-agent-gateway/actions/runs/32427392189. GitHub #78 closed.</t>
        </is>
      </c>
    </row>
    <row r="54">
      <c r="A54" t="n">
        <v>157</v>
      </c>
      <c r="B54" t="inlineStr">
        <is>
          <t>Phase 1</t>
        </is>
      </c>
      <c r="C54" t="inlineStr">
        <is>
          <t>Production Readiness</t>
        </is>
      </c>
      <c r="D54" t="inlineStr">
        <is>
          <t>Issue #94: Recurring terraform plan drift: TELEMETRY env var re-add + source_archive mismatch on sre_agent</t>
        </is>
      </c>
      <c r="E54" t="inlineStr">
        <is>
          <t>Completed</t>
        </is>
      </c>
      <c r="F54" t="inlineStr">
        <is>
          <t>P2-medium-fix</t>
        </is>
      </c>
      <c r="I54" t="inlineStr">
        <is>
          <t>Fixed (PR #157, merged 2026-08-20): removed the GOOGLE_CLOUD_AGENT_ENGINE_ENABLE_TELEMETRY declaration from agent_engine.tf -- Google's own provider code unconditionally skips this var when reading state back, so declaring it made every plan re-propose adding it forever. Deployed and applied cleanly: run https://github.com/AshminPy/sre-agent-gateway/actions/runs/32427392189, Apply step succeeded, 0 errors. Second cause (historical source_archive drift from the pre-#93 out-of-band script) was already expected to self-resolve; worth one more terraform plan check in a future session, not a new issue. GitHub #94 closed.</t>
        </is>
      </c>
    </row>
    <row r="55">
      <c r="A55" t="n">
        <v>160</v>
      </c>
      <c r="B55" t="inlineStr">
        <is>
          <t>Phase 6</t>
        </is>
      </c>
      <c r="C55" t="inlineStr">
        <is>
          <t>Observability &amp; Reliability</t>
        </is>
      </c>
      <c r="D55" t="inlineStr">
        <is>
          <t>Fix telemetry fail-open bug in agent/main.py (_finalize_investigation_result)</t>
        </is>
      </c>
      <c r="E55" t="inlineStr">
        <is>
          <t>Completed</t>
        </is>
      </c>
      <c r="F55" t="inlineStr">
        <is>
          <t>High</t>
        </is>
      </c>
      <c r="I55" t="inlineStr">
        <is>
          <t>A telemetry-formatting failure (e.g. a non-JSON-serializable value in obs_event) could report a successful investigation as failed -- the print/json.dumps/flush_traces block, and the risky computation just above it (mcp_latency_s, session_usage, evidence_storage_ok), ran unguarded inside the same try/except as the real investigation. PR #179 merged + deployed (CI run 32694681828). Validated: 3 unit tests (tests/test_main_fail_open.py) proving the exact bug via real revert/restore (reverting agent/main.py makes them fail with status=='failed', restoring makes them pass -- non-vacuous). Independent verifier subagent caught the first pass being narrower than this fix's own written plan and it was widened before merge (mistakes.yaml M019). Live-exercised (not just unit-tested) on every real investigation since deploy, including the 2026-08-24 smoke-test run -- no regression. The exact bug trigger (a real non-serializable value in production) has not occurred naturally, which is expected and acceptable for a defensive/negative-case fix of this kind.</t>
        </is>
      </c>
    </row>
    <row r="56">
      <c r="A56" t="n">
        <v>161</v>
      </c>
      <c r="B56" t="inlineStr">
        <is>
          <t>Phase 6</t>
        </is>
      </c>
      <c r="C56" t="inlineStr">
        <is>
          <t>Observability &amp; Reliability</t>
        </is>
      </c>
      <c r="D56" t="inlineStr">
        <is>
          <t>Add MCP call + GCS evidence-store tracing spans</t>
        </is>
      </c>
      <c r="E56" t="inlineStr">
        <is>
          <t>Completed</t>
        </is>
      </c>
      <c r="F56" t="inlineStr">
        <is>
          <t>Medium</t>
        </is>
      </c>
      <c r="I56" t="inlineStr">
        <is>
          <t>No dedicated span existed per MCP tool call or GCS evidence write -- only the enclosing LangGraph node span. Added agent/nodes/tool_executor.py (mcp.&lt;tool&gt; span) and agent/gcs_client.py (gcs.write_evidence span), using the existing set_span_attributes() helper so a span-attribute error can never be misread as the underlying operation failing. PR #179 merged + deployed. LIVE-VALIDATED 2026-08-24: ran a real deployed investigation (make smoke, run_20260824_055651_zkmf), confirmed via scripts/verify_trace_export.py + a direct Cloud Trace API read -- trace 62fb09812147140a06803d1f0d992909 contains 3 mcp.* spans (mcp.list_k8s_events, mcp.describe_k8s_resource x2) with correct tool/server/duration_ms/status attributes, and 3 gcs.write_evidence spans with correct run_id/evidence_id/bucket/duration_ms/ok attributes.</t>
        </is>
      </c>
    </row>
    <row r="57">
      <c r="A57" t="n">
        <v>162</v>
      </c>
      <c r="B57" t="inlineStr">
        <is>
          <t>Phase 6</t>
        </is>
      </c>
      <c r="C57" t="inlineStr">
        <is>
          <t>Observability &amp; Reliability</t>
        </is>
      </c>
      <c r="D57" t="inlineStr">
        <is>
          <t>Fix scripts/register_endpoints.py stale GRPC-only assumption for Cloud Logging</t>
        </is>
      </c>
      <c r="E57" t="inlineStr">
        <is>
          <t>Completed</t>
        </is>
      </c>
      <c r="F57" t="inlineStr">
        <is>
          <t>Medium</t>
        </is>
      </c>
      <c r="I57" t="inlineStr">
        <is>
          <t>_GRPC_ONLY_HOSTNAMES still listed logging.googleapis.com/logging.mtls.googleapis.com as GRPC-only -- the exact assumption issue #139 disproved. A full re-registration (fresh project, DR, manual delete+recreate) would have silently reintroduced #139, since the script only skips re-checking protocol on entries that already exist. Fixed: moved the 2 logging hosts to a new _HTTP_JSON_HOSTNAMES set; protocol_binding_for() now returns HTTP_JSON for them, GRPC still correct for the 2 cloudtrace hosts. PR #179 merged + deployed. Validated: 3 unit tests (tests/test_register_endpoints_protocol.py) covering all 3 branches. No live re-registration event to check against under normal operation (only triggers on full rebuild/DR) -- the existing live us-central1-logging registry entry already carries the correct HTTP_JSON binding (confirmed earlier this session, unrelated to this specific code path).</t>
        </is>
      </c>
    </row>
    <row r="58">
      <c r="A58" t="n">
        <v>163</v>
      </c>
      <c r="B58" t="inlineStr">
        <is>
          <t>Phase 6</t>
        </is>
      </c>
      <c r="C58" t="inlineStr">
        <is>
          <t>Observability &amp; Reliability</t>
        </is>
      </c>
      <c r="D58" t="inlineStr">
        <is>
          <t>5 alert policies used resource.type="global", never matched real log entries</t>
        </is>
      </c>
      <c r="E58" t="inlineStr">
        <is>
          <t>Completed</t>
        </is>
      </c>
      <c r="F58" t="inlineStr">
        <is>
          <t>P2-medium-fix</t>
        </is>
      </c>
      <c r="I58" t="inlineStr">
        <is>
          <t>routing_failures, gke_mcp_failures, custom_mcp_failures, repeated_tool_failures, evidence_storage_failures (iac/agent/monitoring.tf) filtered on resource.type="global" -- never matched, so these 5 alerts could never fire. Root cause: they source from the same cloud_logging.Client(_use_grpc=False) loggers fixed for issue #139 (row 159), which write as resource.type="cloud_run_revision", not "global" and not aiplatform.googleapis.com/ReasoningEngine (that type is only for the separate stdout-based path fixed in PR #173's 6 alerts). Fixed in PR #178, merged + deployed (CI run 32694669742). LIVE-VALIDATED 2026-08-24: `gcloud monitoring policies list --project=sreagent-t2-demo` confirms all 5 policies now filter on resource.type="cloud_run_revision".</t>
        </is>
      </c>
    </row>
    <row r="59">
      <c r="A59" t="n">
        <v>4</v>
      </c>
      <c r="B59" t="inlineStr">
        <is>
          <t>Phase 0</t>
        </is>
      </c>
      <c r="C59" t="inlineStr">
        <is>
          <t>Protect Current Working Setup</t>
        </is>
      </c>
      <c r="D59" t="inlineStr">
        <is>
          <t>Capture successful end-to-end investigation with logs and traces</t>
        </is>
      </c>
      <c r="E59" t="inlineStr">
        <is>
          <t>Completed</t>
        </is>
      </c>
      <c r="F59" t="inlineStr">
        <is>
          <t>High</t>
        </is>
      </c>
      <c r="I59" t="inlineStr">
        <is>
          <t>CLOSED 2026-08-24. Requirement was 'logs and traces together' for a full end-to-end investigation (GitHub #130 / tracker ID 62). Structured logs were already independently verified. Traces: row 62's original fix (#130, PR #136/#137) already proved this live on 2026-08-13 -- run_20260813_222248_ybag, trace ada23f5a144e8b327fe6fc51c3a426b4, 54 correlated spans (outer + all LangGraph nodes + Gemini calls). This row was never updated to reflect that same-day fix. Reconfirmed fresh tonight: run_20260824_055651_zkmf, trace 62fb09812147140a06803d1f0d992909, 40 spans, now also including the new mcp.*/gcs.write_evidence spans (row 161). Both logs and traces are real, live, and currently working -- not a one-time proof.</t>
        </is>
      </c>
    </row>
    <row r="60">
      <c r="A60" t="n">
        <v>16</v>
      </c>
      <c r="B60" t="inlineStr">
        <is>
          <t>Phase 1</t>
        </is>
      </c>
      <c r="C60" t="inlineStr">
        <is>
          <t>Production Readiness</t>
        </is>
      </c>
      <c r="D60" t="inlineStr">
        <is>
          <t>Validate evidence storage</t>
        </is>
      </c>
      <c r="E60" t="inlineStr">
        <is>
          <t>Completed</t>
        </is>
      </c>
      <c r="F60" t="inlineStr">
        <is>
          <t>High</t>
        </is>
      </c>
      <c r="I60" t="inlineStr">
        <is>
          <t>CLOSED 2026-08-24. 'Auditable persistence' checked against 4 pillars, each with a file:line or live citation, not assumed: (1) write succeeds -- live-confirmed tonight via gcs.write_evidence spans (ev_001/002/003, ok=true, real bucket/duration_ms). (2) redaction applied before write -- confirmed wired at agent/nodes/evidence_extractor.py:91 (redact(raw) called before write_evidence()), not just a standalone unused function. (3) failure path is auditable -- a permanent GCS write failure writes a structured Cloud Logging event (tests/test_observability.py::test_write_evidence_permanent_failure_writes_structured_log, passing) and now also a gcs.write_evidence span with ok=False (tests/test_gcs_evidence_span.py::test_gcs_span_records_failure_after_retries_exhausted, passing). (4) every write is attributable -- run_id + evidence_id present on both the failure log entry and the live trace span.</t>
        </is>
      </c>
    </row>
    <row r="61">
      <c r="A61" t="n">
        <v>164</v>
      </c>
      <c r="B61" t="inlineStr">
        <is>
          <t>Phase 1</t>
        </is>
      </c>
      <c r="C61" t="inlineStr">
        <is>
          <t>Production Readiness</t>
        </is>
      </c>
      <c r="D61" t="inlineStr">
        <is>
          <t>Issue #85: Custom Cloud Run MCP fallback confirmed operational (issue closed as not-planned)</t>
        </is>
      </c>
      <c r="E61" t="inlineStr">
        <is>
          <t>Completed</t>
        </is>
      </c>
      <c r="F61" t="inlineStr">
        <is>
          <t>P2-medium-fix</t>
        </is>
      </c>
      <c r="I61" t="inlineStr">
        <is>
          <t>CLOSED 2026-08-27 as not-planned -- the issue's premise was contradicted by a real live test. #85 was filed 2026-08-10 from a static code/Terraform read claiming the custom Cloud Run MCP fallback could not build a k8s client and had no reachable connectivity path. On 2026-08-25 the path was exercised for real (PRs #193/#194: gke_remote_mcp's URL temporarily broken to force fallback, deployed via normal CI, then reverted the same way). CI's own smoke test -- not a staged local run -- returned primary_mcp_source='gke_remote_mcp', actual_mcp_sources=['k8s_mcp'], passed. Evidence: docs/management/custom-mcp-model-armor-coverage-2026-08-25.md. DOES NOT cover: the fallback is unprotected -- that traffic transits the Agent Gateway but Model Armor does not inspect it (0 GOOGLE_MCP_SERVER vs 12 VERTEX_AI log entries in the same window); tracked separately. Multi-cluster half of #85's body (single global K8S_MCP_URL, mcp/server.py:78 @lru_cache(maxsize=1), no per-cluster mcp_url in variables.tf) moved to #86 -- verified still present on main today, NOT fixed by this closure.</t>
        </is>
      </c>
    </row>
    <row r="62">
      <c r="A62" t="n">
        <v>166</v>
      </c>
      <c r="B62" t="inlineStr">
        <is>
          <t>Phase 4</t>
        </is>
      </c>
      <c r="C62" t="inlineStr">
        <is>
          <t>Dynamic Investigation &amp; Confidence</t>
        </is>
      </c>
      <c r="D62" t="inlineStr">
        <is>
          <t>Issue #206: resource_identity_match scored 0.0 on an unambiguous case -- trusted LLM free text instead of real evidence</t>
        </is>
      </c>
      <c r="E62" t="inlineStr">
        <is>
          <t>Completed</t>
        </is>
      </c>
      <c r="F62" t="inlineStr">
        <is>
          <t>High</t>
        </is>
      </c>
      <c r="I62" t="inlineStr">
        <is>
          <t>LIVE-VALIDATED 2026-08-27. Deployed via terraform-apply run 33108575687 (apply 6m34s, smoke test passed). Re-ran the exact same imagepull scenario (run_20260827_205724_odwb) that originally exposed the bug: root_cause_confidence.components.resource_identity_match went from 0.0 to 1.0 -- the predicted fix, confirmed against a real deployed run, not just unit tests. Overall confidence moved 0.74 -&gt; 0.835. Investigation stayed in the REVIEW band, but now for unrelated, legitimate reasons (direct_support 0.5 -- 2 of 4 claims are inference rather than independently grounded fact; one claim on '0 restarts' scored weak_overlap) -- not a regression, a different, real scoring signal working as designed.</t>
        </is>
      </c>
    </row>
    <row r="63">
      <c r="A63" t="n">
        <v>167</v>
      </c>
      <c r="B63" t="inlineStr">
        <is>
          <t>Phase 4</t>
        </is>
      </c>
      <c r="C63" t="inlineStr">
        <is>
          <t>Dynamic Investigation &amp; Confidence</t>
        </is>
      </c>
      <c r="D63" t="inlineStr">
        <is>
          <t>Issue #209: task_planner/mcp_router never saw the original query -- blank Pod hint caused the agent to investigate the wrong resource entirely</t>
        </is>
      </c>
      <c r="E63" t="inlineStr">
        <is>
          <t>Completed</t>
        </is>
      </c>
      <c r="F63" t="inlineStr">
        <is>
          <t>Critical</t>
        </is>
      </c>
      <c r="I63" t="inlineStr">
        <is>
          <t>MERGED and DEPLOYED 2026-08-27 (PR #210, terraform-apply run succeeded, smoke test passed). Found during confidence-calibration baseline work: a real test case ('notification-svc shows no endpoints', no pod hint) investigated a completely unrelated pod's missing ConfigMap instead, scoring it 0.95 confidence -- high confidence, wrong incident. Root cause: task_planner/mcp_router only ever saw normalized namespace/pod fields, never the original incident report; a blank pod left no way to recover the real target, so the first tool call went unscoped across the whole (busy) namespace and locked onto whatever was loudest. Fix: thread user_query into both prompts, with explicit scoping instructions. LIVE-VALIDATED: re-ran the exact same case after the fix -- correctly targeted notification-svc. 2 new regression tests, full suite 352/352 at merge time. Surfaced a second, narrower issue (wrong resourceType guess + over-weighted a resulting NotFound into a false conclusion) -- not fixed here, needs its own pass.</t>
        </is>
      </c>
    </row>
    <row r="64">
      <c r="A64" t="n">
        <v>168</v>
      </c>
      <c r="B64" t="inlineStr">
        <is>
          <t>Phase 4</t>
        </is>
      </c>
      <c r="C64" t="inlineStr">
        <is>
          <t>Dynamic Investigation &amp; Confidence</t>
        </is>
      </c>
      <c r="D64" t="inlineStr">
        <is>
          <t>Issue #211: get_k8s_logs silently dropped the container argument -- Istio/sidecar pods default to the wrong container's logs</t>
        </is>
      </c>
      <c r="E64" t="inlineStr">
        <is>
          <t>Completed</t>
        </is>
      </c>
      <c r="F64" t="inlineStr">
        <is>
          <t>High</t>
        </is>
      </c>
      <c r="I64" t="inlineStr">
        <is>
          <t>MERGED and DEPLOYED 2026-08-27 (PR #212, terraform-apply run succeeded, smoke test passed). User-reported: real work-environment pods run with an Istio sidecar, and the agent was seen investigating the wrong container. Reproduced live against a real 2-container test pod (istio-proxy + app): with no container argument forwarded, Kubernetes itself defaulted to the sidecar -- confirmed via the real API response 'Defaulted container "istio-proxy" out of: istio-proxy, app'. Root cause: agent/mcp_client.py's request builder silently dropped `container` even when supplied, and no tool description ever told the model it was an option. Fix: forward container through, expose it in both MCP tool descriptions, add explicit SIDECAR guidance (check container list first, prefer the app container over common sidecar/infra names) to the router prompt. 3 new regression tests (deterministic, on the request builder itself), full suite 355/355. CAVEAT, not yet closed further: tested against a synthetic 2-container pod, not a real Istio-injected one -- no Istio installed in this test cluster. The code fix and the live Kubernetes default-container behavior are both confirmed real; a genuine istio-proxy sidecar has not been used to verify end-to-end.</t>
        </is>
      </c>
    </row>
    <row r="65">
      <c r="A65" t="n">
        <v>110</v>
      </c>
      <c r="B65" t="inlineStr">
        <is>
          <t>Phase 12</t>
        </is>
      </c>
      <c r="C65" t="inlineStr">
        <is>
          <t>On-Premises Kubernetes</t>
        </is>
      </c>
      <c r="D65" t="inlineStr">
        <is>
          <t>Custom MCP → Connect Gateway production path</t>
        </is>
      </c>
      <c r="E65" t="inlineStr">
        <is>
          <t>Completed</t>
        </is>
      </c>
      <c r="F65" t="inlineStr">
        <is>
          <t>Critical</t>
        </is>
      </c>
      <c r="I65" t="inlineStr">
        <is>
          <t>COMPLETED 2026-09-05. Production path proven end-to-end, including a real regression found and fixed along the way: PR #242's merge caused CI's first terraform-apply on main to silently destroy the Connect Gateway IAM binding (roles/gkehub.gatewayReader) and the Cloud Run K8S_MCP_KUBE_CONTEXT env var, because CI never passed onprem_fleet_membership/custom_mcp_kube_context and the underlying Terraform resource required a kubeconfig CI never legitimately has. Fixed structurally in PR #243, not just patched: Kubernetes RBAC moved to a separate repo (AshminPy/sre-k8s-rbac, mirroring the work-side ownership model -- reusable ClusterRoles + per-cluster bindings, CI does static validation only, never holds a cluster credential); Fleet/Connect Agent bootstrap is now an explicit manual operator step; sre-agent-gateway's Terraform no longer needs kubeconfig access at all. A real, pre-existing RBAC gap was found and fixed along the way: the built-in `view` ClusterRole does not grant `nodes` (get/list), which list_nodes/describe_node require -- confirmed against this repo's own PRODUCTION-LAUNCH-PLAN.md history and fixed in the new sre-agent-reader ClusterRole. Live-proven: a real CI apply on main (post-fix) left the IAM binding and env var intact, and a real post-CI investigation (run_20260905_154124_fdvw) completed successfully through the full path Agent -&gt; Agent Gateway -&gt; Custom MCP -&gt; Connect Gateway -&gt; sre-lab, with 3 real tool calls, complete evidence coverage, and a correct grounded conclusion. Final terraform plan: 0 to add, 1 to change (the known, pre-existing reasoning-engine source-archive repackaging diff), 0 to destroy -- not literal zero drift, but no unexpected or unaccounted-for change. See PHASE1_EVIDENCE_LOG.md for full detail.</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54"/>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2</v>
      </c>
      <c r="B2" t="inlineStr">
        <is>
          <t>Phase 0</t>
        </is>
      </c>
      <c r="C2" t="inlineStr">
        <is>
          <t>Protect Current Working Setup</t>
        </is>
      </c>
      <c r="D2" t="inlineStr">
        <is>
          <t>Tag/version known-good deployment state</t>
        </is>
      </c>
      <c r="E2" t="inlineStr">
        <is>
          <t>In Progress</t>
        </is>
      </c>
      <c r="F2" t="inlineStr">
        <is>
          <t>Medium</t>
        </is>
      </c>
      <c r="I2" t="inlineStr">
        <is>
          <t>Keep an explicit rollback reference/tag.</t>
        </is>
      </c>
    </row>
    <row r="3">
      <c r="A3" t="n">
        <v>5</v>
      </c>
      <c r="B3" t="inlineStr">
        <is>
          <t>Phase 0</t>
        </is>
      </c>
      <c r="C3" t="inlineStr">
        <is>
          <t>Protect Current Working Setup</t>
        </is>
      </c>
      <c r="D3" t="inlineStr">
        <is>
          <t>Document rollback and recovery steps</t>
        </is>
      </c>
      <c r="E3" t="inlineStr">
        <is>
          <t>In Progress</t>
        </is>
      </c>
      <c r="F3" t="inlineStr">
        <is>
          <t>High</t>
        </is>
      </c>
      <c r="I3" t="inlineStr">
        <is>
          <t>Needs final validation.</t>
        </is>
      </c>
    </row>
    <row r="4">
      <c r="A4" t="n">
        <v>8</v>
      </c>
      <c r="B4" t="inlineStr">
        <is>
          <t>Phase 1</t>
        </is>
      </c>
      <c r="C4" t="inlineStr">
        <is>
          <t>Production Readiness</t>
        </is>
      </c>
      <c r="D4" t="inlineStr">
        <is>
          <t>Consolidate production roadmap</t>
        </is>
      </c>
      <c r="E4" t="inlineStr">
        <is>
          <t>In Progress</t>
        </is>
      </c>
      <c r="F4" t="inlineStr">
        <is>
          <t>High</t>
        </is>
      </c>
      <c r="I4" t="inlineStr">
        <is>
          <t>Use this tracker as the consolidated source of truth.</t>
        </is>
      </c>
    </row>
    <row r="5">
      <c r="A5" t="n">
        <v>9</v>
      </c>
      <c r="B5" t="inlineStr">
        <is>
          <t>Phase 1</t>
        </is>
      </c>
      <c r="C5" t="inlineStr">
        <is>
          <t>Production Readiness</t>
        </is>
      </c>
      <c r="D5" t="inlineStr">
        <is>
          <t>Complete Production Readiness Review</t>
        </is>
      </c>
      <c r="E5" t="inlineStr">
        <is>
          <t>In Progress</t>
        </is>
      </c>
      <c r="F5" t="inlineStr">
        <is>
          <t>Critical</t>
        </is>
      </c>
      <c r="I5" t="inlineStr">
        <is>
          <t>Multiple launch gaps remain.</t>
        </is>
      </c>
    </row>
    <row r="6">
      <c r="A6" t="n">
        <v>10</v>
      </c>
      <c r="B6" t="inlineStr">
        <is>
          <t>Phase 1</t>
        </is>
      </c>
      <c r="C6" t="inlineStr">
        <is>
          <t>Production Readiness</t>
        </is>
      </c>
      <c r="D6" t="inlineStr">
        <is>
          <t>Map architecture, data flow and trust boundaries</t>
        </is>
      </c>
      <c r="E6" t="inlineStr">
        <is>
          <t>In Progress</t>
        </is>
      </c>
      <c r="F6" t="inlineStr">
        <is>
          <t>High</t>
        </is>
      </c>
      <c r="I6" t="inlineStr">
        <is>
          <t>Architecture exists; trust-boundary validation remains.</t>
        </is>
      </c>
    </row>
    <row r="7">
      <c r="A7" t="n">
        <v>11</v>
      </c>
      <c r="B7" t="inlineStr">
        <is>
          <t>Phase 1</t>
        </is>
      </c>
      <c r="C7" t="inlineStr">
        <is>
          <t>Production Readiness</t>
        </is>
      </c>
      <c r="D7" t="inlineStr">
        <is>
          <t>Validate Agent Gateway architecture</t>
        </is>
      </c>
      <c r="E7" t="inlineStr">
        <is>
          <t>In Progress</t>
        </is>
      </c>
      <c r="F7" t="inlineStr">
        <is>
          <t>High</t>
        </is>
      </c>
      <c r="I7" t="inlineStr">
        <is>
          <t>Gateway works; final production validation remains.</t>
        </is>
      </c>
    </row>
    <row r="8">
      <c r="A8" t="n">
        <v>13</v>
      </c>
      <c r="B8" t="inlineStr">
        <is>
          <t>Phase 1</t>
        </is>
      </c>
      <c r="C8" t="inlineStr">
        <is>
          <t>Production Readiness</t>
        </is>
      </c>
      <c r="D8" t="inlineStr">
        <is>
          <t>Validate IAM and identities</t>
        </is>
      </c>
      <c r="E8" t="inlineStr">
        <is>
          <t>In Progress</t>
        </is>
      </c>
      <c r="F8" t="inlineStr">
        <is>
          <t>Critical</t>
        </is>
      </c>
      <c r="I8" t="inlineStr">
        <is>
          <t>Cross-project and least-privilege review remains.</t>
        </is>
      </c>
    </row>
    <row r="9">
      <c r="A9" t="n">
        <v>15</v>
      </c>
      <c r="B9" t="inlineStr">
        <is>
          <t>Phase 1</t>
        </is>
      </c>
      <c r="C9" t="inlineStr">
        <is>
          <t>Production Readiness</t>
        </is>
      </c>
      <c r="D9" t="inlineStr">
        <is>
          <t>Review secrets and sensitive-data handling</t>
        </is>
      </c>
      <c r="E9" t="inlineStr">
        <is>
          <t>In Progress</t>
        </is>
      </c>
      <c r="F9" t="inlineStr">
        <is>
          <t>High</t>
        </is>
      </c>
      <c r="I9" t="inlineStr">
        <is>
          <t>Final security review required.</t>
        </is>
      </c>
    </row>
    <row r="10">
      <c r="A10" t="n">
        <v>20</v>
      </c>
      <c r="B10" t="inlineStr">
        <is>
          <t>Phase 2</t>
        </is>
      </c>
      <c r="C10" t="inlineStr">
        <is>
          <t>Agent Gateway &amp; Model Armor</t>
        </is>
      </c>
      <c r="D10" t="inlineStr">
        <is>
          <t>Final Agent Gateway production validation</t>
        </is>
      </c>
      <c r="E10" t="inlineStr">
        <is>
          <t>In Progress</t>
        </is>
      </c>
      <c r="F10" t="inlineStr">
        <is>
          <t>High</t>
        </is>
      </c>
      <c r="I10" t="inlineStr">
        <is>
          <t>Validate complete traffic/security behavior.</t>
        </is>
      </c>
    </row>
    <row r="11">
      <c r="A11" t="n">
        <v>21</v>
      </c>
      <c r="B11" t="inlineStr">
        <is>
          <t>Phase 2</t>
        </is>
      </c>
      <c r="C11" t="inlineStr">
        <is>
          <t>Agent Gateway &amp; Model Armor</t>
        </is>
      </c>
      <c r="D11" t="inlineStr">
        <is>
          <t>Confirm current Model Armor configuration</t>
        </is>
      </c>
      <c r="E11" t="inlineStr">
        <is>
          <t>In Progress</t>
        </is>
      </c>
      <c r="F11" t="inlineStr">
        <is>
          <t>High</t>
        </is>
      </c>
      <c r="I11" t="inlineStr">
        <is>
          <t>UPDATED 2026-08-25: Model Armor floor settings now fully live for Google-managed paths (GOOGLE_MCP_SERVER + AI_PLATFORM), enforcement on, inspect_only (never blocks). PR #183 (adopt+enable) and PR #187 (add SDP) both merged + applied via CI, both live-verified. Real detector tests, not synthetic-and-untested: malicious_uris caught both Google Safe Browsing test URIs with exact byte offsets (8/8); pi_and_jailbreak caught a real jailbreak payload in a short prompt but missed the same payload in a longer one (evidence-specific finding, not a blanket pass/fail); SDP caught a test credit-card number at VERY_LIKELY confidence with byte offsets (first attempt used the wrong info-type category -- email/IP aren't in basic config's fixed set, corrected and retested). Full evidence: docs/management/floor-settings-production-plan-2026-08-25.md. Still open, the one real remaining gap: GOOGLE_MCP_SERVER floor settings do NOT cover this project's custom/non-Google MCP fallback path -- zero coverage there, not yet validated at all. | UPDATE 2026-09-05: see row 165 -- root cause found (wrong IAM service agent + stale warm container), Model Armor invocation now genuinely proven live; remaining RESPONSE_BODY gap confirmed as a documented Google platform limitation (Streamable HTTP/SSE MCP transport), accepted, not an open investigation.</t>
        </is>
      </c>
    </row>
    <row r="12">
      <c r="A12" t="n">
        <v>22</v>
      </c>
      <c r="B12" t="inlineStr">
        <is>
          <t>Phase 2</t>
        </is>
      </c>
      <c r="C12" t="inlineStr">
        <is>
          <t>Agent Gateway &amp; Model Armor</t>
        </is>
      </c>
      <c r="D12" t="inlineStr">
        <is>
          <t>Retest Model Armor in clean environment</t>
        </is>
      </c>
      <c r="E12" t="inlineStr">
        <is>
          <t>In Progress</t>
        </is>
      </c>
      <c r="F12" t="inlineStr">
        <is>
          <t>High</t>
        </is>
      </c>
      <c r="I12" t="inlineStr">
        <is>
          <t>Controlled validation pending.</t>
        </is>
      </c>
    </row>
    <row r="13">
      <c r="A13" t="n">
        <v>30</v>
      </c>
      <c r="B13" t="inlineStr">
        <is>
          <t>Phase 3</t>
        </is>
      </c>
      <c r="C13" t="inlineStr">
        <is>
          <t>RCA Output &amp; Evidence</t>
        </is>
      </c>
      <c r="D13" t="inlineStr">
        <is>
          <t>Executive-first RCA output redesign</t>
        </is>
      </c>
      <c r="E13" t="inlineStr">
        <is>
          <t>In Progress</t>
        </is>
      </c>
      <c r="F13" t="inlineStr">
        <is>
          <t>Medium</t>
        </is>
      </c>
      <c r="I13" t="inlineStr">
        <is>
          <t>Hardening/simplification remains.</t>
        </is>
      </c>
    </row>
    <row r="14">
      <c r="A14" t="n">
        <v>31</v>
      </c>
      <c r="B14" t="inlineStr">
        <is>
          <t>Phase 3</t>
        </is>
      </c>
      <c r="C14" t="inlineStr">
        <is>
          <t>RCA Output &amp; Evidence</t>
        </is>
      </c>
      <c r="D14" t="inlineStr">
        <is>
          <t>Remove duplicated/weak root-cause claims</t>
        </is>
      </c>
      <c r="E14" t="inlineStr">
        <is>
          <t>In Progress</t>
        </is>
      </c>
      <c r="F14" t="inlineStr">
        <is>
          <t>High</t>
        </is>
      </c>
      <c r="I14" t="inlineStr">
        <is>
          <t>Grounding-quality fixes remain.</t>
        </is>
      </c>
    </row>
    <row r="15">
      <c r="A15" t="n">
        <v>32</v>
      </c>
      <c r="B15" t="inlineStr">
        <is>
          <t>Phase 3</t>
        </is>
      </c>
      <c r="C15" t="inlineStr">
        <is>
          <t>RCA Output &amp; Evidence</t>
        </is>
      </c>
      <c r="D15" t="inlineStr">
        <is>
          <t>Supporting, contradicting and missing evidence</t>
        </is>
      </c>
      <c r="E15" t="inlineStr">
        <is>
          <t>In Progress</t>
        </is>
      </c>
      <c r="F15" t="inlineStr">
        <is>
          <t>High</t>
        </is>
      </c>
      <c r="I15" t="inlineStr">
        <is>
          <t>Needs stronger deterministic handling.</t>
        </is>
      </c>
    </row>
    <row r="16">
      <c r="A16" t="n">
        <v>33</v>
      </c>
      <c r="B16" t="inlineStr">
        <is>
          <t>Phase 3</t>
        </is>
      </c>
      <c r="C16" t="inlineStr">
        <is>
          <t>RCA Output &amp; Evidence</t>
        </is>
      </c>
      <c r="D16" t="inlineStr">
        <is>
          <t>Affected-resource and incident-time information</t>
        </is>
      </c>
      <c r="E16" t="inlineStr">
        <is>
          <t>In Progress</t>
        </is>
      </c>
      <c r="F16" t="inlineStr">
        <is>
          <t>Medium</t>
        </is>
      </c>
      <c r="I16" t="inlineStr">
        <is>
          <t>Time/resource validation needs improvement.</t>
        </is>
      </c>
    </row>
    <row r="17">
      <c r="A17" t="n">
        <v>34</v>
      </c>
      <c r="B17" t="inlineStr">
        <is>
          <t>Phase 3</t>
        </is>
      </c>
      <c r="C17" t="inlineStr">
        <is>
          <t>RCA Output &amp; Evidence</t>
        </is>
      </c>
      <c r="D17" t="inlineStr">
        <is>
          <t>Alternatives considered</t>
        </is>
      </c>
      <c r="E17" t="inlineStr">
        <is>
          <t>In Progress</t>
        </is>
      </c>
      <c r="F17" t="inlineStr">
        <is>
          <t>Medium</t>
        </is>
      </c>
      <c r="I17" t="inlineStr">
        <is>
          <t>Dynamic alternative-cause handling incomplete.</t>
        </is>
      </c>
    </row>
    <row r="18">
      <c r="A18" t="n">
        <v>39</v>
      </c>
      <c r="B18" t="inlineStr">
        <is>
          <t>Phase 4</t>
        </is>
      </c>
      <c r="C18" t="inlineStr">
        <is>
          <t>Dynamic Investigation &amp; Confidence</t>
        </is>
      </c>
      <c r="D18" t="inlineStr">
        <is>
          <t>Contradiction handling</t>
        </is>
      </c>
      <c r="E18" t="inlineStr">
        <is>
          <t>In Progress</t>
        </is>
      </c>
      <c r="F18" t="inlineStr">
        <is>
          <t>High</t>
        </is>
      </c>
      <c r="I18" t="inlineStr">
        <is>
          <t>Needs production hardening.</t>
        </is>
      </c>
    </row>
    <row r="19">
      <c r="A19" t="n">
        <v>40</v>
      </c>
      <c r="B19" t="inlineStr">
        <is>
          <t>Phase 4</t>
        </is>
      </c>
      <c r="C19" t="inlineStr">
        <is>
          <t>Dynamic Investigation &amp; Confidence</t>
        </is>
      </c>
      <c r="D19" t="inlineStr">
        <is>
          <t>Missing/failed/stale evidence penalties and caps</t>
        </is>
      </c>
      <c r="E19" t="inlineStr">
        <is>
          <t>In Progress</t>
        </is>
      </c>
      <c r="F19" t="inlineStr">
        <is>
          <t>High</t>
        </is>
      </c>
      <c r="I19" t="inlineStr">
        <is>
          <t>Coverage bug remains in some failed-tool cases.</t>
        </is>
      </c>
    </row>
    <row r="20">
      <c r="A20" t="n">
        <v>42</v>
      </c>
      <c r="B20" t="inlineStr">
        <is>
          <t>Phase 4</t>
        </is>
      </c>
      <c r="C20" t="inlineStr">
        <is>
          <t>Dynamic Investigation &amp; Confidence</t>
        </is>
      </c>
      <c r="D20" t="inlineStr">
        <is>
          <t>Dynamic investigation loop</t>
        </is>
      </c>
      <c r="E20" t="inlineStr">
        <is>
          <t>In Progress</t>
        </is>
      </c>
      <c r="F20" t="inlineStr">
        <is>
          <t>Critical</t>
        </is>
      </c>
      <c r="I20" t="inlineStr">
        <is>
          <t>Loop exists; correctness gaps remain.</t>
        </is>
      </c>
    </row>
    <row r="21">
      <c r="A21" t="n">
        <v>43</v>
      </c>
      <c r="B21" t="inlineStr">
        <is>
          <t>Phase 4</t>
        </is>
      </c>
      <c r="C21" t="inlineStr">
        <is>
          <t>Dynamic Investigation &amp; Confidence</t>
        </is>
      </c>
      <c r="D21" t="inlineStr">
        <is>
          <t>Dynamic hypothesis generation/testing</t>
        </is>
      </c>
      <c r="E21" t="inlineStr">
        <is>
          <t>In Progress</t>
        </is>
      </c>
      <c r="F21" t="inlineStr">
        <is>
          <t>High</t>
        </is>
      </c>
      <c r="I21" t="inlineStr">
        <is>
          <t>Expected-vs-contradicting evidence loop incomplete.</t>
        </is>
      </c>
    </row>
    <row r="22">
      <c r="A22" t="n">
        <v>45</v>
      </c>
      <c r="B22" t="inlineStr">
        <is>
          <t>Phase 4</t>
        </is>
      </c>
      <c r="C22" t="inlineStr">
        <is>
          <t>Dynamic Investigation &amp; Confidence</t>
        </is>
      </c>
      <c r="D22" t="inlineStr">
        <is>
          <t>Support multiple possible causes</t>
        </is>
      </c>
      <c r="E22" t="inlineStr">
        <is>
          <t>In Progress</t>
        </is>
      </c>
      <c r="F22" t="inlineStr">
        <is>
          <t>Medium</t>
        </is>
      </c>
      <c r="I22" t="inlineStr">
        <is>
          <t>Needs validation.</t>
        </is>
      </c>
    </row>
    <row r="23">
      <c r="A23" t="n">
        <v>50</v>
      </c>
      <c r="B23" t="inlineStr">
        <is>
          <t>Phase 5</t>
        </is>
      </c>
      <c r="C23" t="inlineStr">
        <is>
          <t>Testing &amp; Evaluation</t>
        </is>
      </c>
      <c r="D23" t="inlineStr">
        <is>
          <t>Unit tests for all LangGraph nodes</t>
        </is>
      </c>
      <c r="E23" t="inlineStr">
        <is>
          <t>In Progress</t>
        </is>
      </c>
      <c r="F23" t="inlineStr">
        <is>
          <t>High</t>
        </is>
      </c>
      <c r="I23" t="inlineStr">
        <is>
          <t>Several direct node tests remain.</t>
        </is>
      </c>
    </row>
    <row r="24">
      <c r="A24" t="n">
        <v>53</v>
      </c>
      <c r="B24" t="inlineStr">
        <is>
          <t>Phase 5</t>
        </is>
      </c>
      <c r="C24" t="inlineStr">
        <is>
          <t>Testing &amp; Evaluation</t>
        </is>
      </c>
      <c r="D24" t="inlineStr">
        <is>
          <t>Expand production-like golden scenarios</t>
        </is>
      </c>
      <c r="E24" t="inlineStr">
        <is>
          <t>In Progress</t>
        </is>
      </c>
      <c r="F24" t="inlineStr">
        <is>
          <t>High</t>
        </is>
      </c>
      <c r="I24" t="inlineStr">
        <is>
          <t>Add complex/conflicting/stale/missing evidence.</t>
        </is>
      </c>
    </row>
    <row r="25">
      <c r="A25" t="n">
        <v>54</v>
      </c>
      <c r="B25" t="inlineStr">
        <is>
          <t>Phase 5</t>
        </is>
      </c>
      <c r="C25" t="inlineStr">
        <is>
          <t>Testing &amp; Evaluation</t>
        </is>
      </c>
      <c r="D25" t="inlineStr">
        <is>
          <t>MCP failure and wrong-cluster safety tests</t>
        </is>
      </c>
      <c r="E25" t="inlineStr">
        <is>
          <t>In Progress</t>
        </is>
      </c>
      <c r="F25" t="inlineStr">
        <is>
          <t>Critical</t>
        </is>
      </c>
      <c r="I25" t="inlineStr">
        <is>
          <t>Routing-safety testing incomplete.</t>
        </is>
      </c>
    </row>
    <row r="26">
      <c r="A26" t="n">
        <v>56</v>
      </c>
      <c r="B26" t="inlineStr">
        <is>
          <t>Phase 5</t>
        </is>
      </c>
      <c r="C26" t="inlineStr">
        <is>
          <t>Testing &amp; Evaluation</t>
        </is>
      </c>
      <c r="D26" t="inlineStr">
        <is>
          <t>Regression tests for fixed issues</t>
        </is>
      </c>
      <c r="E26" t="inlineStr">
        <is>
          <t>In Progress</t>
        </is>
      </c>
      <c r="F26" t="inlineStr">
        <is>
          <t>High</t>
        </is>
      </c>
      <c r="I26" t="inlineStr">
        <is>
          <t>Continue adding for every fix.</t>
        </is>
      </c>
    </row>
    <row r="27">
      <c r="A27" t="n">
        <v>66</v>
      </c>
      <c r="B27" t="inlineStr">
        <is>
          <t>Phase 6</t>
        </is>
      </c>
      <c r="C27" t="inlineStr">
        <is>
          <t>Observability &amp; Reliability</t>
        </is>
      </c>
      <c r="D27" t="inlineStr">
        <is>
          <t>Define retry, timeout and backoff behaviour</t>
        </is>
      </c>
      <c r="E27" t="inlineStr">
        <is>
          <t>In Progress</t>
        </is>
      </c>
      <c r="F27" t="inlineStr">
        <is>
          <t>Critical</t>
        </is>
      </c>
      <c r="I27" t="inlineStr">
        <is>
          <t>Align client/backend/tool behavior.</t>
        </is>
      </c>
    </row>
    <row r="28">
      <c r="A28" t="n">
        <v>67</v>
      </c>
      <c r="B28" t="inlineStr">
        <is>
          <t>Phase 6</t>
        </is>
      </c>
      <c r="C28" t="inlineStr">
        <is>
          <t>Observability &amp; Reliability</t>
        </is>
      </c>
      <c r="D28" t="inlineStr">
        <is>
          <t>Define investigation/tool/token/cost limits</t>
        </is>
      </c>
      <c r="E28" t="inlineStr">
        <is>
          <t>In Progress</t>
        </is>
      </c>
      <c r="F28" t="inlineStr">
        <is>
          <t>High</t>
        </is>
      </c>
      <c r="I28" t="inlineStr">
        <is>
          <t>Monitoring/token-budget slice DONE 2026-08-12 (PR #102, commit 85030c8). Deployed, live-validated: real MAX_TOKENS_PER_RUN=100000 confirmed on the live engine, real investigation tokens_total correctly metered (1 data point per run, not duplicated across per-node events), synthetic threshold test opened a real alert incident (0.obcxlxk5jaf5). Remaining: removing the inaccurate hardcoded local dollar-cost estimation -- separate, not started. GitHub issue #63 itself is closed (was about a DIFFERENT bug, the Flash/Pro pricing mismatch, already fixed) -- this remaining work has no dedicated GitHub issue of its own yet.</t>
        </is>
      </c>
    </row>
    <row r="29">
      <c r="A29" t="n">
        <v>68</v>
      </c>
      <c r="B29" t="inlineStr">
        <is>
          <t>Phase 6</t>
        </is>
      </c>
      <c r="C29" t="inlineStr">
        <is>
          <t>Observability &amp; Reliability</t>
        </is>
      </c>
      <c r="D29" t="inlineStr">
        <is>
          <t>Create operational runbooks</t>
        </is>
      </c>
      <c r="E29" t="inlineStr">
        <is>
          <t>In Progress</t>
        </is>
      </c>
      <c r="F29" t="inlineStr">
        <is>
          <t>Medium</t>
        </is>
      </c>
      <c r="I29" t="inlineStr">
        <is>
          <t>Needs final procedures.</t>
        </is>
      </c>
    </row>
    <row r="30">
      <c r="A30" t="n">
        <v>72</v>
      </c>
      <c r="B30" t="inlineStr">
        <is>
          <t>Phase 7</t>
        </is>
      </c>
      <c r="C30" t="inlineStr">
        <is>
          <t>Multi-Cluster Scalability</t>
        </is>
      </c>
      <c r="D30" t="inlineStr">
        <is>
          <t>Cluster onboarding/update/removal/rollback workflow</t>
        </is>
      </c>
      <c r="E30" t="inlineStr">
        <is>
          <t>In Progress</t>
        </is>
      </c>
      <c r="F30" t="inlineStr">
        <is>
          <t>High</t>
        </is>
      </c>
      <c r="I30" t="inlineStr">
        <is>
          <t>Needs repeatable validation.</t>
        </is>
      </c>
    </row>
    <row r="31">
      <c r="A31" t="n">
        <v>74</v>
      </c>
      <c r="B31" t="inlineStr">
        <is>
          <t>Phase 7</t>
        </is>
      </c>
      <c r="C31" t="inlineStr">
        <is>
          <t>Multi-Cluster Scalability</t>
        </is>
      </c>
      <c r="D31" t="inlineStr">
        <is>
          <t>Cross-project IAM for additional clusters</t>
        </is>
      </c>
      <c r="E31" t="inlineStr">
        <is>
          <t>In Progress</t>
        </is>
      </c>
      <c r="F31" t="inlineStr">
        <is>
          <t>Critical</t>
        </is>
      </c>
      <c r="I31" t="inlineStr">
        <is>
          <t>Required for production scale.</t>
        </is>
      </c>
    </row>
    <row r="32">
      <c r="A32" t="n">
        <v>75</v>
      </c>
      <c r="B32" t="inlineStr">
        <is>
          <t>Phase 7</t>
        </is>
      </c>
      <c r="C32" t="inlineStr">
        <is>
          <t>Multi-Cluster Scalability</t>
        </is>
      </c>
      <c r="D32" t="inlineStr">
        <is>
          <t>Namespace and cluster access controls</t>
        </is>
      </c>
      <c r="E32" t="inlineStr">
        <is>
          <t>In Progress</t>
        </is>
      </c>
      <c r="F32" t="inlineStr">
        <is>
          <t>High</t>
        </is>
      </c>
      <c r="I32" t="inlineStr">
        <is>
          <t>Needs final isolation model.</t>
        </is>
      </c>
    </row>
    <row r="33">
      <c r="A33" t="n">
        <v>77</v>
      </c>
      <c r="B33" t="inlineStr">
        <is>
          <t>Phase 7</t>
        </is>
      </c>
      <c r="C33" t="inlineStr">
        <is>
          <t>Multi-Cluster Scalability</t>
        </is>
      </c>
      <c r="D33" t="inlineStr">
        <is>
          <t>Repeatable multi-cluster onboarding documentation</t>
        </is>
      </c>
      <c r="E33" t="inlineStr">
        <is>
          <t>In Progress</t>
        </is>
      </c>
      <c r="F33" t="inlineStr">
        <is>
          <t>Medium</t>
        </is>
      </c>
      <c r="I33" t="inlineStr">
        <is>
          <t>Runbook remains.</t>
        </is>
      </c>
    </row>
    <row r="34">
      <c r="A34" t="n">
        <v>81</v>
      </c>
      <c r="B34" t="inlineStr">
        <is>
          <t>Phase 8</t>
        </is>
      </c>
      <c r="C34" t="inlineStr">
        <is>
          <t>MCP Tool Architecture</t>
        </is>
      </c>
      <c r="D34" t="inlineStr">
        <is>
          <t>Source-agnostic MCP interface</t>
        </is>
      </c>
      <c r="E34" t="inlineStr">
        <is>
          <t>In Progress</t>
        </is>
      </c>
      <c r="F34" t="inlineStr">
        <is>
          <t>High</t>
        </is>
      </c>
      <c r="I34" t="inlineStr">
        <is>
          <t>Needs stronger common abstraction.</t>
        </is>
      </c>
    </row>
    <row r="35">
      <c r="A35" t="n">
        <v>82</v>
      </c>
      <c r="B35" t="inlineStr">
        <is>
          <t>Phase 8</t>
        </is>
      </c>
      <c r="C35" t="inlineStr">
        <is>
          <t>MCP Tool Architecture</t>
        </is>
      </c>
      <c r="D35" t="inlineStr">
        <is>
          <t>Normalize evidence returned by MCP servers</t>
        </is>
      </c>
      <c r="E35" t="inlineStr">
        <is>
          <t>In Progress</t>
        </is>
      </c>
      <c r="F35" t="inlineStr">
        <is>
          <t>High</t>
        </is>
      </c>
      <c r="I35" t="inlineStr">
        <is>
          <t>Common contract not fully generalized.</t>
        </is>
      </c>
    </row>
    <row r="36">
      <c r="A36" t="n">
        <v>83</v>
      </c>
      <c r="B36" t="inlineStr">
        <is>
          <t>Phase 8</t>
        </is>
      </c>
      <c r="C36" t="inlineStr">
        <is>
          <t>MCP Tool Architecture</t>
        </is>
      </c>
      <c r="D36" t="inlineStr">
        <is>
          <t>Repeatable MCP-server onboarding process</t>
        </is>
      </c>
      <c r="E36" t="inlineStr">
        <is>
          <t>In Progress</t>
        </is>
      </c>
      <c r="F36" t="inlineStr">
        <is>
          <t>Medium</t>
        </is>
      </c>
      <c r="I36" t="inlineStr">
        <is>
          <t>Needs documented contract.</t>
        </is>
      </c>
    </row>
    <row r="37">
      <c r="A37" t="n">
        <v>84</v>
      </c>
      <c r="B37" t="inlineStr">
        <is>
          <t>Phase 8</t>
        </is>
      </c>
      <c r="C37" t="inlineStr">
        <is>
          <t>MCP Tool Architecture</t>
        </is>
      </c>
      <c r="D37" t="inlineStr">
        <is>
          <t>Output trimming and evidence validation</t>
        </is>
      </c>
      <c r="E37" t="inlineStr">
        <is>
          <t>In Progress</t>
        </is>
      </c>
      <c r="F37" t="inlineStr">
        <is>
          <t>High</t>
        </is>
      </c>
      <c r="I37" t="inlineStr">
        <is>
          <t>Important for cost and grounding.</t>
        </is>
      </c>
    </row>
    <row r="38">
      <c r="A38" t="n">
        <v>85</v>
      </c>
      <c r="B38" t="inlineStr">
        <is>
          <t>Phase 8</t>
        </is>
      </c>
      <c r="C38" t="inlineStr">
        <is>
          <t>MCP Tool Architecture</t>
        </is>
      </c>
      <c r="D38" t="inlineStr">
        <is>
          <t>Timeout/retry/rate-limit/audit requirements</t>
        </is>
      </c>
      <c r="E38" t="inlineStr">
        <is>
          <t>In Progress</t>
        </is>
      </c>
      <c r="F38" t="inlineStr">
        <is>
          <t>High</t>
        </is>
      </c>
      <c r="I38" t="inlineStr">
        <is>
          <t>Needs production contract.</t>
        </is>
      </c>
    </row>
    <row r="39">
      <c r="A39" t="n">
        <v>89</v>
      </c>
      <c r="B39" t="inlineStr">
        <is>
          <t>Phase 9</t>
        </is>
      </c>
      <c r="C39" t="inlineStr">
        <is>
          <t>Cost &amp; Performance</t>
        </is>
      </c>
      <c r="D39" t="inlineStr">
        <is>
          <t>Measure investigation cost and latency</t>
        </is>
      </c>
      <c r="E39" t="inlineStr">
        <is>
          <t>In Progress</t>
        </is>
      </c>
      <c r="F39" t="inlineStr">
        <is>
          <t>High</t>
        </is>
      </c>
      <c r="I39" t="inlineStr">
        <is>
          <t>Latency regression currently significant.</t>
        </is>
      </c>
    </row>
    <row r="40">
      <c r="A40" t="n">
        <v>90</v>
      </c>
      <c r="B40" t="inlineStr">
        <is>
          <t>Phase 9</t>
        </is>
      </c>
      <c r="C40" t="inlineStr">
        <is>
          <t>Cost &amp; Performance</t>
        </is>
      </c>
      <c r="D40" t="inlineStr">
        <is>
          <t>Reduce unnecessary investigation loops</t>
        </is>
      </c>
      <c r="E40" t="inlineStr">
        <is>
          <t>In Progress</t>
        </is>
      </c>
      <c r="F40" t="inlineStr">
        <is>
          <t>High</t>
        </is>
      </c>
      <c r="I40" t="inlineStr">
        <is>
          <t>Part of dynamic investigation hardening.</t>
        </is>
      </c>
    </row>
    <row r="41">
      <c r="A41" t="n">
        <v>91</v>
      </c>
      <c r="B41" t="inlineStr">
        <is>
          <t>Phase 9</t>
        </is>
      </c>
      <c r="C41" t="inlineStr">
        <is>
          <t>Cost &amp; Performance</t>
        </is>
      </c>
      <c r="D41" t="inlineStr">
        <is>
          <t>Trim and deduplicate evidence before model calls</t>
        </is>
      </c>
      <c r="E41" t="inlineStr">
        <is>
          <t>In Progress</t>
        </is>
      </c>
      <c r="F41" t="inlineStr">
        <is>
          <t>High</t>
        </is>
      </c>
      <c r="I41" t="inlineStr">
        <is>
          <t>Further optimization needed.</t>
        </is>
      </c>
    </row>
    <row r="42">
      <c r="A42" t="n">
        <v>92</v>
      </c>
      <c r="B42" t="inlineStr">
        <is>
          <t>Phase 9</t>
        </is>
      </c>
      <c r="C42" t="inlineStr">
        <is>
          <t>Cost &amp; Performance</t>
        </is>
      </c>
      <c r="D42" t="inlineStr">
        <is>
          <t>Per-investigation token/cost budgets</t>
        </is>
      </c>
      <c r="E42" t="inlineStr">
        <is>
          <t>In Progress</t>
        </is>
      </c>
      <c r="F42" t="inlineStr">
        <is>
          <t>High</t>
        </is>
      </c>
      <c r="I42" t="inlineStr">
        <is>
          <t>Guardrails not finalized.</t>
        </is>
      </c>
    </row>
    <row r="43">
      <c r="A43" t="n">
        <v>93</v>
      </c>
      <c r="B43" t="inlineStr">
        <is>
          <t>Phase 9</t>
        </is>
      </c>
      <c r="C43" t="inlineStr">
        <is>
          <t>Cost &amp; Performance</t>
        </is>
      </c>
      <c r="D43" t="inlineStr">
        <is>
          <t>Review model selection per workflow stage</t>
        </is>
      </c>
      <c r="E43" t="inlineStr">
        <is>
          <t>In Progress</t>
        </is>
      </c>
      <c r="F43" t="inlineStr">
        <is>
          <t>Medium</t>
        </is>
      </c>
      <c r="I43" t="inlineStr">
        <is>
          <t>Provider-neutral adapter exists.</t>
        </is>
      </c>
    </row>
    <row r="44">
      <c r="A44" t="n">
        <v>109</v>
      </c>
      <c r="B44" t="inlineStr">
        <is>
          <t>Phase 12</t>
        </is>
      </c>
      <c r="C44" t="inlineStr">
        <is>
          <t>On-Premises Kubernetes</t>
        </is>
      </c>
      <c r="D44" t="inlineStr">
        <is>
          <t>Validate Fleet / Connect Gateway concept</t>
        </is>
      </c>
      <c r="E44" t="inlineStr">
        <is>
          <t>In Progress</t>
        </is>
      </c>
      <c r="F44" t="inlineStr">
        <is>
          <t>High</t>
        </is>
      </c>
      <c r="I44" t="inlineStr">
        <is>
          <t>Manual prototype/concept work exists.</t>
        </is>
      </c>
    </row>
    <row r="45">
      <c r="A45" t="n">
        <v>118</v>
      </c>
      <c r="B45" t="inlineStr">
        <is>
          <t>Phase 13</t>
        </is>
      </c>
      <c r="C45" t="inlineStr">
        <is>
          <t>Security &amp; Supply Chain</t>
        </is>
      </c>
      <c r="D45" t="inlineStr">
        <is>
          <t>Complete final IAM review</t>
        </is>
      </c>
      <c r="E45" t="inlineStr">
        <is>
          <t>In Progress</t>
        </is>
      </c>
      <c r="F45" t="inlineStr">
        <is>
          <t>Critical</t>
        </is>
      </c>
      <c r="I45" t="inlineStr">
        <is>
          <t>Cross-project/least-privilege review remains.</t>
        </is>
      </c>
    </row>
    <row r="46">
      <c r="A46" t="n">
        <v>119</v>
      </c>
      <c r="B46" t="inlineStr">
        <is>
          <t>Phase 13</t>
        </is>
      </c>
      <c r="C46" t="inlineStr">
        <is>
          <t>Security &amp; Supply Chain</t>
        </is>
      </c>
      <c r="D46" t="inlineStr">
        <is>
          <t>Kubernetes RBAC scoping</t>
        </is>
      </c>
      <c r="E46" t="inlineStr">
        <is>
          <t>In Progress</t>
        </is>
      </c>
      <c r="F46" t="inlineStr">
        <is>
          <t>Critical</t>
        </is>
      </c>
      <c r="I46" t="inlineStr">
        <is>
          <t>Needs production validation.</t>
        </is>
      </c>
    </row>
    <row r="47">
      <c r="A47" t="n">
        <v>120</v>
      </c>
      <c r="B47" t="inlineStr">
        <is>
          <t>Phase 13</t>
        </is>
      </c>
      <c r="C47" t="inlineStr">
        <is>
          <t>Security &amp; Supply Chain</t>
        </is>
      </c>
      <c r="D47" t="inlineStr">
        <is>
          <t>MCP authentication and authorization review</t>
        </is>
      </c>
      <c r="E47" t="inlineStr">
        <is>
          <t>In Progress</t>
        </is>
      </c>
      <c r="F47" t="inlineStr">
        <is>
          <t>High</t>
        </is>
      </c>
      <c r="I47" t="inlineStr">
        <is>
          <t>Needed before adding sources.</t>
        </is>
      </c>
    </row>
    <row r="48">
      <c r="A48" t="n">
        <v>121</v>
      </c>
      <c r="B48" t="inlineStr">
        <is>
          <t>Phase 13</t>
        </is>
      </c>
      <c r="C48" t="inlineStr">
        <is>
          <t>Security &amp; Supply Chain</t>
        </is>
      </c>
      <c r="D48" t="inlineStr">
        <is>
          <t>Agent Gateway security validation</t>
        </is>
      </c>
      <c r="E48" t="inlineStr">
        <is>
          <t>In Progress</t>
        </is>
      </c>
      <c r="F48" t="inlineStr">
        <is>
          <t>High</t>
        </is>
      </c>
      <c r="I48" t="inlineStr">
        <is>
          <t>Final production review. | UPDATE 2026-09-05: REQUEST_AUTHZ staleness/bypass test completed -- revoked the agent identity's roles/iap.egressor binding on an already-warm (&gt;5h) connection, retried immediately: denied within 2.8s, gateway log shows authzPolicyInfo.result=DENIED on the very first egress attempt, zero stale-enforcement window. Restored, confirmed access works again, confirmed zero Terraform drift. Verdict: PASS, no bypass, confirmed against official Google docs (authz extensions invoke live at the request-headers stage, no cache). See PHASE1_EVIDENCE_LOG.md. | UPDATE 2026-09-06 (PR #249, merged 2026-09-06T19:10:49Z): the REQUEST_AUTHZ staleness/bypass test above (2026-09-05) was investigation-only -- authz_fail_open was still true by default. This PR makes the fix durable: iac/agent/variables.tf's authz_fail_open default changed true -&gt; false, merged, deployed via CI (run 34054067651), confirmed live via `terraform state show` (google_network_services_authz_extension.iap[0].fail_open = false). Not independently re-tested post-merge beyond confirming the live value (the underlying revoke/retry/no-bypass behavior was already proven 2026-09-05 against the same mechanism). NOT marking this row Completed -- 'Agent Gateway security validation' / 'Final Agent Gateway production validation' covers more than this one fix (CONTENT_AUTHZ response-side gap, row 165/#203, remains open).</t>
        </is>
      </c>
    </row>
    <row r="49">
      <c r="A49" t="n">
        <v>122</v>
      </c>
      <c r="B49" t="inlineStr">
        <is>
          <t>Phase 13</t>
        </is>
      </c>
      <c r="C49" t="inlineStr">
        <is>
          <t>Security &amp; Supply Chain</t>
        </is>
      </c>
      <c r="D49" t="inlineStr">
        <is>
          <t>Model Armor controlled validation</t>
        </is>
      </c>
      <c r="E49" t="inlineStr">
        <is>
          <t>In Progress</t>
        </is>
      </c>
      <c r="F49" t="inlineStr">
        <is>
          <t>High</t>
        </is>
      </c>
      <c r="I49" t="inlineStr">
        <is>
          <t>UPDATED 2026-08-27: root cause of 'not active in live path' now identified and filed as GitHub #203. agent/main.py:909 returns early unless MODEL_ARMOR_TEMPLATE is set, and iac/agent/agent_engine.tf:102-108 sets that env var ONLY when var.enable_agent_gateway is false; variables.tf:103-106 defaults it to true with no CI override. So app-level Model Armor (_sanitize) is unreachable in every real deploy -- input sanitization at main.py:1150 and the #32 output-verdict path at main.py:1253-1264 (content_flagged / requires_human_review) have never executed in production. The gating comment justifies this as redundant with a gateway CONTENT_AUTHZ Model Armor extension, but agent_gateway.tf:5-8 states no working Terraform path to wire that ever existed (real API rejection), and the only google_network_services_authz_extension on main is 'iap'. Blocked by #30 (endpoint hostname registration must be fixed before re-enabling). Verified against main @ 2384d21. | UPDATE 2026-09-05: see row 165 -- root cause found (wrong IAM service agent + stale warm container), Model Armor invocation now genuinely proven live; remaining RESPONSE_BODY gap confirmed as a documented Google platform limitation (Streamable HTTP/SSE MCP transport), accepted, not an open investigation.</t>
        </is>
      </c>
    </row>
    <row r="50">
      <c r="A50" t="n">
        <v>123</v>
      </c>
      <c r="B50" t="inlineStr">
        <is>
          <t>Phase 13</t>
        </is>
      </c>
      <c r="C50" t="inlineStr">
        <is>
          <t>Security &amp; Supply Chain</t>
        </is>
      </c>
      <c r="D50" t="inlineStr">
        <is>
          <t>Supply-chain and CI hardening</t>
        </is>
      </c>
      <c r="E50" t="inlineStr">
        <is>
          <t>In Progress</t>
        </is>
      </c>
      <c r="F50" t="inlineStr">
        <is>
          <t>Medium</t>
        </is>
      </c>
      <c r="I50" t="inlineStr">
        <is>
          <t>UPDATED 2026-08-27 (verified against main @ 2384d21, GitHub #79). PARTIALLY DONE: dorny/paths-filter is now pinned to a full commit SHA (.github/workflows/terraform-apply.yml:48, ceb8a2b8f2d89434be7ff52d3de7ec3738c5cc9d # v4.0.3). REMAINING, all confirmed still present: (1) every other action is pinned by tag not SHA -- actions/checkout@v4 (and @v6 in claude-review-response.yml:101), actions/setup-python@v5, google-github-actions/auth@v2, hashicorp/setup-terraform@v3, anthropics/claude-code-action@v1, across all 5 workflows; (2) no Python lock file anywhere -- agent/requirements.txt and mcp/requirements.txt still use &gt;= ranges; (3) mcp/Dockerfile has no USER directive (runs as root) and line 6 is still an unpinned 'RUN pip install uv'. Item 3 is the cheapest and highest-value of the three: a USER line plus a pinned uv version, no CI or dependency-resolution risk.</t>
        </is>
      </c>
    </row>
    <row r="51">
      <c r="A51" t="n">
        <v>154</v>
      </c>
      <c r="B51" t="inlineStr">
        <is>
          <t>Phase 6</t>
        </is>
      </c>
      <c r="C51" t="inlineStr">
        <is>
          <t>Observability &amp; Reliability</t>
        </is>
      </c>
      <c r="D51" t="inlineStr">
        <is>
          <t>Resolve Agent Platform Console Traces/Telemetry view not updating after OTel provider fix (#164)</t>
        </is>
      </c>
      <c r="E51" t="inlineStr">
        <is>
          <t>In Progress</t>
        </is>
      </c>
      <c r="F51" t="inlineStr">
        <is>
          <t>High</t>
        </is>
      </c>
      <c r="I51" t="inlineStr">
        <is>
          <t>FIXED (app side): our own OTel tracer-provider race. #130's fix (PR #136) made our tracer initialize early in set_up() and reliably win OpenTelemetry's one-time global-provider race (confirmed live: 11/11 workers), blocking Agent Engine's managed provider from installing. PR #165 (merge commit ee65b69, deployed 2026-08-16) stopped competing for that slot -- get_tracer() now builds its own local TracerProvider -- restoring the managed tracer path. Verified live: Google-owned Model Armor spans reappeared in Cloud Trace (never seen before this fix). WORKING: Cloud Trace collection itself. Live run run_20260816_083409_lpak produced 54 correctly-parented spans. STILL UNRESOLVED: the Agent Platform Console's Traces tab has not updated since 2026-08-13, and the Deployments list's Telemetry collection column still reads 'Learn more', not 'Enabled'. ROOT CAUSE UNCONFIRMED (Console side). Three config-level hypotheses tested live and ruled out 2026-08-14..16, each reverted after: sync vs stream invocation method; OTEL_INSTRUMENTATION_GENAI_CAPTURE_MESSAGE_CONTENT (boolean and correct-enum values); OTEL_SEMCONV_STABILITY_OPT_IN (never previously set). That was the last realistic officially-documented config lead. Google support case drafted, NOT yet submitted. GitHub #164 remains OPEN. Use Cloud Trace directly instead of the Console tab until it closes.</t>
        </is>
      </c>
    </row>
    <row r="52">
      <c r="A52" t="n">
        <v>159</v>
      </c>
      <c r="B52" t="inlineStr">
        <is>
          <t>Phase 6</t>
        </is>
      </c>
      <c r="C52" t="inlineStr">
        <is>
          <t>Observability &amp; Reliability</t>
        </is>
      </c>
      <c r="D52" t="inlineStr">
        <is>
          <t>Issue #139 fix rolled out to tool_executor.py/mcp_router.py/gcs_client.py</t>
        </is>
      </c>
      <c r="E52" t="inlineStr">
        <is>
          <t>In Progress</t>
        </is>
      </c>
      <c r="F52" t="inlineStr">
        <is>
          <t>P2-medium-fix</t>
        </is>
      </c>
      <c r="I52" t="inlineStr">
        <is>
          <t>Same _use_grpc=False fix as row 152's rca_builder.py resolution, applied to the 3 sibling call sites sharing the identical pattern (sre-agent-tool-failures, sre-agent-routing-failures, sre-agent-evidence-storage-failures). PR #175 merged and deployed (CI run 32653113035, smoke test passed). STILL NOT live-validated -- these 3 only write on a genuine tool/routing/evidence-storage failure, which has not occurred naturally yet (waiting, per 2026-08-23 decision). Completion requires: a real failure of each kind occurring live with the corresponding log entry confirmed written, no 403. RESOLVED 2026-08-24: the resource.type sub-item is done -- live-confirmed via `gcloud monitoring policies list --project=sreagent-t2-demo`, all 5 alerts (gke_mcp_failures, custom_mcp_failures, repeated_tool_failures, routing_failures, evidence_storage_failures) now filter on resource.type="cloud_run_revision" (PR #178, merged + deployed, CI run 32694669742). See row 163 for the alert fix's own tracking.</t>
        </is>
      </c>
    </row>
    <row r="53">
      <c r="A53" t="n">
        <v>23</v>
      </c>
      <c r="B53" t="inlineStr">
        <is>
          <t>Phase 2</t>
        </is>
      </c>
      <c r="C53" t="inlineStr">
        <is>
          <t>Agent Gateway &amp; Model Armor</t>
        </is>
      </c>
      <c r="D53" t="inlineStr">
        <is>
          <t>Test Model Armor with Agent Identity, IAP and Agent Gateway</t>
        </is>
      </c>
      <c r="E53" t="inlineStr">
        <is>
          <t>In Progress</t>
        </is>
      </c>
      <c r="F53" t="inlineStr">
        <is>
          <t>High</t>
        </is>
      </c>
      <c r="I53" t="inlineStr">
        <is>
          <t>CLOSED 2026-08-24 -- LIVE-VALIDATED. The 2026-08-08 attempt used the GLOBAL Model Armor hostname (modelarmor.googleapis.com) in AuthzExtension.service and got a hard 400 (unsupported Google API for AuthzExtension). This session tried the REGIONAL hostname (modelarmor.us-central1.rep.googleapis.com) instead -- terraform apply succeeded (2 resources created, 0 errors). Ran a real deployed investigation (make smoke) with the wiring live: 33 real gateway requests logged, ALL 33 authorized ALLOWED by the new Model Armor CONTENT_AUTHZ policy (sre-agent-model-armor-gateway-policy), 23 of them actually inspected/processed by Model Armor (processingEffect=CONTENT_MODIFIED, grpcStatus=OK). The 4 non-200 HTTP statuses seen (1x429, 2x404, 1x403) were all pre-existing, unrelated app-level responses (Vertex rate-limit, IAM credential lookups, cluster-config bucket) -- confirmed each still shows model_armor_result=ALLOWED, none were blocked by the new policy. Investigation completed successfully end to end (SMOKE TEST PASSED), no TLS/cert/gateway regression. Branch: test/model-armor-regional-content-authz-trial (committed, NOT merged to main yet -- see row 21/26/131 for what the full trial plan still requires before #30/#32 close: prompt-injection/jailbreak/sensitive-content test cases, full coverage table across all paths, latency measurement, Model Armor Cloud Logging detection-event confirmation). [Moved from Completed 2026-08-30: branch test/model-armor-regional-content-authz-trial still unmerged per this row's own original notes.]</t>
        </is>
      </c>
    </row>
    <row r="54">
      <c r="A54" t="n">
        <v>165</v>
      </c>
      <c r="B54" t="inlineStr">
        <is>
          <t>Phase 2</t>
        </is>
      </c>
      <c r="C54" t="inlineStr">
        <is>
          <t>Agent Gateway &amp; Model Armor</t>
        </is>
      </c>
      <c r="D54" t="inlineStr">
        <is>
          <t>Issue #203: MODEL_ARMOR_TEMPLATE gated on gateway-OFF, so app-level Model Armor is dead code in every real deploy</t>
        </is>
      </c>
      <c r="E54" t="inlineStr">
        <is>
          <t>Waiting on Google Support</t>
        </is>
      </c>
      <c r="F54" t="inlineStr">
        <is>
          <t>High</t>
        </is>
      </c>
      <c r="I54" t="inlineStr">
        <is>
          <t>UPDATED 2026-09-05. Investigated end to end on feat/phase-1-release. Fixed the original gating bug this row describes, plus corrected agent_gateway.tf's stale comment (the gateway-side CONTENT_AUTHZ extension DOES exist on the current provider, google-beta 7.43.0 -- re-verified). TWO REAL ROOT CAUSES found and fixed for why Model Armor was never actually invoked: (1) IAM was granted to the wrong Service Extensions service agent -- assumed to be service-{our project number}@gcp-sa-dep.iam.gserviceaccount.com, but direct REST evidence (querying the gateway resource's own agentGatewayCard.serviceExtensionsServiceAccount field) proved the real principal is a different, Google-internal tenant project. Fixed via Terraform referencing the gateway's own computed attribute. (2) A stale warm container (&gt;40min uptime) was bypassing gateway interception entirely for the custom MCP host. AFTER both fixes, Model Armor invocation is genuinely proven live (real ext_proc calls, grpcStatus=OK, serviceExtensionInfo populated) on both the custom MCP and GKE Remote MCP paths -- confirmed via gcloud logging read against networkservices.googleapis.com/Gateway. REMAINING GAP, now understood precisely: RESPONSE_BODY never fires as an ext_proc event for MCP tools/call responses on either path. Google's own Model Armor + Agent Gateway integration docs state 'Streamable HTTP/SSE for MCP' is allowed without sanitization -- our custom MCP's own code proves it uses exactly this transport (mcp/server.py:442, transport='streamable-http'). Two independent malicious payloads (prompt-injection, and Google's own guaranteed-detection Safe Browsing URL) both passed through unblocked on this path, tested on both the custom MCP AND Google's own GKE Remote MCP path (corroborating, not primary, evidence -- GKE Remote MCP's internal transport is not published by Google). DECISION (explicit, 2026-09-05): accepted as a proven, documented Google platform limitation -- not a code defect, not silently reclassified as a lesser Phase 1.1 item. Phase 1 OpenSpec acceptance criterion #203 recorded as PARTIAL -- ACCEPTED PLATFORM LIMITATION. Floor-setting mechanism (row 21/122) continues providing real inspect-only detection as a disclosed, compensating control -- NOT equivalent to CONTENT_AUTHZ blocking. NEXT: a Google Cloud support case will be filed as a non-blocking follow-up (confirmation + roadmap ask) -- Phase 1 completion does not wait for a response. Full evidence: PHASE1_EVIDENCE_LOG.md and GitHub issue #203 comment, feat/phase-1-release branch. | UPDATE 2026-09-06 (PR #249, merged 2026-09-06T19:10:49Z, commit dc6f022 + 5f2d136): shipped a compensating control for the RESPONSE_BODY gap on the custom MCP path specifically -- mcp/response_guard.py, a FastMCP on_call_tool middleware that calls Model Armor's sanitize_model_response directly against the sre_agent_response template, closing the gap CONTENT_AUTHZ cannot for this one MCP source. CI green (mcp-pytest, pytest, plan all pass). Deployed via CI terraform-apply (run 34054067651; first attempt failed on a real, understood GCP Cloud Monitoring metric-propagation 404 -- 'could not find metric, try again in up to 10 min' -- re-ran the same job with no code change once propagated, succeeded). Live-proven on the merged deployment: normal investigation run_20260906_192633_snql (status=done, selected_mcp=k8s_mcp); malicious-response run_20260906_192834_yoqw -- 2x real BLOCK, MCP log 'ModelArmorResponseGuard BLOCKED tool response tool=describe_pod_detail', Model Armor sanitize_operations log MODEL_ARMOR_SANITIZATION_VERDICT_BLOCK / malicious_uris MATCH_FOUND on the exact test URL at byte offset 310-361; agent responded truthfully (status=done, error=null, confidence=0.0, no fabricated RCA). Guard fails OPEN on a Model Armor API error -- deliberate, disclosed availability tradeoff (read-only architecture bounds the worst case to corrupted evidence/RCA text; every RCA already requires human review regardless; fail-closed would take the investigation tool down during real incidents over an unrelated dependency outage). Loud alerting added to back that decision: new google_logging_metric + google_monitoring_alert_policy 'sre_agent/mcp_model_armor_fail_open' (verified beforehand that NO existing alert matched this event -- filters on textPayload, not severity, since Cloud Run's default stdout capture for this service's plain Python logging shows an empty severity field even on WARNING/ERROR lines, confirmed live). Terraform drift-check after deploy: 0 add, 1 change (reasoning-engine source_archive -- known local-vs-CI build non-determinism, unrelated to this change), 0 destroy. NOT closing this row/#203 -- response-side inspection for GKE Remote MCP remains an accepted platform limitation (row unchanged), and the Google Cloud support case this row's own prior note commits to filing has still not been filed. Full evidence in GitHub issue #203 comment and PHASE1_EVIDENCE_LOG.md.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41"/>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6</v>
      </c>
      <c r="B2" t="inlineStr">
        <is>
          <t>Phase 0</t>
        </is>
      </c>
      <c r="C2" t="inlineStr">
        <is>
          <t>Protect Current Working Setup</t>
        </is>
      </c>
      <c r="D2" t="inlineStr">
        <is>
          <t>Perform rollback test</t>
        </is>
      </c>
      <c r="E2" t="inlineStr">
        <is>
          <t>Not Started</t>
        </is>
      </c>
      <c r="F2" t="inlineStr">
        <is>
          <t>High</t>
        </is>
      </c>
      <c r="I2" t="inlineStr">
        <is>
          <t>Required before production approval.</t>
        </is>
      </c>
    </row>
    <row r="3">
      <c r="A3" t="n">
        <v>7</v>
      </c>
      <c r="B3" t="inlineStr">
        <is>
          <t>Phase 0</t>
        </is>
      </c>
      <c r="C3" t="inlineStr">
        <is>
          <t>Protect Current Working Setup</t>
        </is>
      </c>
      <c r="D3" t="inlineStr">
        <is>
          <t>Perform disaster-recovery drill</t>
        </is>
      </c>
      <c r="E3" t="inlineStr">
        <is>
          <t>Not Started</t>
        </is>
      </c>
      <c r="F3" t="inlineStr">
        <is>
          <t>Medium</t>
        </is>
      </c>
      <c r="I3" t="inlineStr">
        <is>
          <t>Production readiness validation.</t>
        </is>
      </c>
    </row>
    <row r="4">
      <c r="A4" t="n">
        <v>17</v>
      </c>
      <c r="B4" t="inlineStr">
        <is>
          <t>Phase 1</t>
        </is>
      </c>
      <c r="C4" t="inlineStr">
        <is>
          <t>Production Readiness</t>
        </is>
      </c>
      <c r="D4" t="inlineStr">
        <is>
          <t>Final production-readiness approval</t>
        </is>
      </c>
      <c r="E4" t="inlineStr">
        <is>
          <t>Not Started</t>
        </is>
      </c>
      <c r="F4" t="inlineStr">
        <is>
          <t>Critical</t>
        </is>
      </c>
      <c r="I4" t="inlineStr">
        <is>
          <t>Gated on launch blockers.</t>
        </is>
      </c>
    </row>
    <row r="5">
      <c r="A5" t="n">
        <v>24</v>
      </c>
      <c r="B5" t="inlineStr">
        <is>
          <t>Phase 2</t>
        </is>
      </c>
      <c r="C5" t="inlineStr">
        <is>
          <t>Agent Gateway &amp; Model Armor</t>
        </is>
      </c>
      <c r="D5" t="inlineStr">
        <is>
          <t>Define separate Model Armor policies for input/evidence/output</t>
        </is>
      </c>
      <c r="E5" t="inlineStr">
        <is>
          <t>Not Started</t>
        </is>
      </c>
      <c r="F5" t="inlineStr">
        <is>
          <t>Medium</t>
        </is>
      </c>
      <c r="I5" t="inlineStr">
        <is>
          <t>Pending architecture validation.</t>
        </is>
      </c>
    </row>
    <row r="6">
      <c r="A6" t="n">
        <v>25</v>
      </c>
      <c r="B6" t="inlineStr">
        <is>
          <t>Phase 2</t>
        </is>
      </c>
      <c r="C6" t="inlineStr">
        <is>
          <t>Agent Gateway &amp; Model Armor</t>
        </is>
      </c>
      <c r="D6" t="inlineStr">
        <is>
          <t>Test Kubernetes logs/events for false positives</t>
        </is>
      </c>
      <c r="E6" t="inlineStr">
        <is>
          <t>Not Started</t>
        </is>
      </c>
      <c r="F6" t="inlineStr">
        <is>
          <t>Medium</t>
        </is>
      </c>
      <c r="I6" t="inlineStr">
        <is>
          <t>Needed before enforcement.</t>
        </is>
      </c>
    </row>
    <row r="7">
      <c r="A7" t="n">
        <v>26</v>
      </c>
      <c r="B7" t="inlineStr">
        <is>
          <t>Phase 2</t>
        </is>
      </c>
      <c r="C7" t="inlineStr">
        <is>
          <t>Agent Gateway &amp; Model Armor</t>
        </is>
      </c>
      <c r="D7" t="inlineStr">
        <is>
          <t>Confirm Model Armor failure/fallback behaviour</t>
        </is>
      </c>
      <c r="E7" t="inlineStr">
        <is>
          <t>Not Started</t>
        </is>
      </c>
      <c r="F7" t="inlineStr">
        <is>
          <t>High</t>
        </is>
      </c>
      <c r="I7" t="inlineStr">
        <is>
          <t>Needs explicit failure-mode test.</t>
        </is>
      </c>
    </row>
    <row r="8">
      <c r="A8" t="n">
        <v>41</v>
      </c>
      <c r="B8" t="inlineStr">
        <is>
          <t>Phase 4</t>
        </is>
      </c>
      <c r="C8" t="inlineStr">
        <is>
          <t>Dynamic Investigation &amp; Confidence</t>
        </is>
      </c>
      <c r="D8" t="inlineStr">
        <is>
          <t>Confidence calibration testing</t>
        </is>
      </c>
      <c r="E8" t="inlineStr">
        <is>
          <t>Not Started</t>
        </is>
      </c>
      <c r="F8" t="inlineStr">
        <is>
          <t>Medium</t>
        </is>
      </c>
      <c r="I8" t="inlineStr">
        <is>
          <t>Compare confidence with actual RCA accuracy.</t>
        </is>
      </c>
    </row>
    <row r="9">
      <c r="A9" t="n">
        <v>55</v>
      </c>
      <c r="B9" t="inlineStr">
        <is>
          <t>Phase 5</t>
        </is>
      </c>
      <c r="C9" t="inlineStr">
        <is>
          <t>Testing &amp; Evaluation</t>
        </is>
      </c>
      <c r="D9" t="inlineStr">
        <is>
          <t>LLM-judge evaluation</t>
        </is>
      </c>
      <c r="E9" t="inlineStr">
        <is>
          <t>Not Started</t>
        </is>
      </c>
      <c r="F9" t="inlineStr">
        <is>
          <t>Low</t>
        </is>
      </c>
      <c r="I9" t="inlineStr">
        <is>
          <t>Secondary evaluation only.</t>
        </is>
      </c>
    </row>
    <row r="10">
      <c r="A10" t="n">
        <v>63</v>
      </c>
      <c r="B10" t="inlineStr">
        <is>
          <t>Phase 6</t>
        </is>
      </c>
      <c r="C10" t="inlineStr">
        <is>
          <t>Observability &amp; Reliability</t>
        </is>
      </c>
      <c r="D10" t="inlineStr">
        <is>
          <t>Operational dashboard</t>
        </is>
      </c>
      <c r="E10" t="inlineStr">
        <is>
          <t>Not Started</t>
        </is>
      </c>
      <c r="F10" t="inlineStr">
        <is>
          <t>Medium</t>
        </is>
      </c>
      <c r="I10" t="inlineStr">
        <is>
          <t>Needed for operations.</t>
        </is>
      </c>
    </row>
    <row r="11">
      <c r="A11" t="n">
        <v>64</v>
      </c>
      <c r="B11" t="inlineStr">
        <is>
          <t>Phase 6</t>
        </is>
      </c>
      <c r="C11" t="inlineStr">
        <is>
          <t>Observability &amp; Reliability</t>
        </is>
      </c>
      <c r="D11" t="inlineStr">
        <is>
          <t>Controlled delivery test for every alert</t>
        </is>
      </c>
      <c r="E11" t="inlineStr">
        <is>
          <t>Not Started</t>
        </is>
      </c>
      <c r="F11" t="inlineStr">
        <is>
          <t>High</t>
        </is>
      </c>
      <c r="I11" t="inlineStr">
        <is>
          <t>Configured alerts must be proven.</t>
        </is>
      </c>
    </row>
    <row r="12">
      <c r="A12" t="n">
        <v>76</v>
      </c>
      <c r="B12" t="inlineStr">
        <is>
          <t>Phase 7</t>
        </is>
      </c>
      <c r="C12" t="inlineStr">
        <is>
          <t>Multi-Cluster Scalability</t>
        </is>
      </c>
      <c r="D12" t="inlineStr">
        <is>
          <t>Concurrency/quota/failure-isolation testing</t>
        </is>
      </c>
      <c r="E12" t="inlineStr">
        <is>
          <t>Not Started</t>
        </is>
      </c>
      <c r="F12" t="inlineStr">
        <is>
          <t>High</t>
        </is>
      </c>
      <c r="I12" t="inlineStr">
        <is>
          <t>Scale testing remains.</t>
        </is>
      </c>
    </row>
    <row r="13">
      <c r="A13" t="n">
        <v>95</v>
      </c>
      <c r="B13" t="inlineStr">
        <is>
          <t>Phase 10</t>
        </is>
      </c>
      <c r="C13" t="inlineStr">
        <is>
          <t>PagerDuty Integration</t>
        </is>
      </c>
      <c r="D13" t="inlineStr">
        <is>
          <t>Design PagerDuty-triggered workflow</t>
        </is>
      </c>
      <c r="E13" t="inlineStr">
        <is>
          <t>Not Started</t>
        </is>
      </c>
      <c r="F13" t="inlineStr">
        <is>
          <t>Critical</t>
        </is>
      </c>
      <c r="I13" t="inlineStr">
        <is>
          <t>Required Phase 1 integration.</t>
        </is>
      </c>
    </row>
    <row r="14">
      <c r="A14" t="n">
        <v>96</v>
      </c>
      <c r="B14" t="inlineStr">
        <is>
          <t>Phase 10</t>
        </is>
      </c>
      <c r="C14" t="inlineStr">
        <is>
          <t>PagerDuty Integration</t>
        </is>
      </c>
      <c r="D14" t="inlineStr">
        <is>
          <t>Authenticated Cloud Run webhook receiver</t>
        </is>
      </c>
      <c r="E14" t="inlineStr">
        <is>
          <t>Not Started</t>
        </is>
      </c>
      <c r="F14" t="inlineStr">
        <is>
          <t>Critical</t>
        </is>
      </c>
      <c r="I14" t="inlineStr">
        <is>
          <t>No implementation yet.</t>
        </is>
      </c>
    </row>
    <row r="15">
      <c r="A15" t="n">
        <v>97</v>
      </c>
      <c r="B15" t="inlineStr">
        <is>
          <t>Phase 10</t>
        </is>
      </c>
      <c r="C15" t="inlineStr">
        <is>
          <t>PagerDuty Integration</t>
        </is>
      </c>
      <c r="D15" t="inlineStr">
        <is>
          <t>Pub/Sub buffering and investigation workers</t>
        </is>
      </c>
      <c r="E15" t="inlineStr">
        <is>
          <t>Not Started</t>
        </is>
      </c>
      <c r="F15" t="inlineStr">
        <is>
          <t>High</t>
        </is>
      </c>
      <c r="I15" t="inlineStr">
        <is>
          <t>Planned scalable path.</t>
        </is>
      </c>
    </row>
    <row r="16">
      <c r="A16" t="n">
        <v>98</v>
      </c>
      <c r="B16" t="inlineStr">
        <is>
          <t>Phase 10</t>
        </is>
      </c>
      <c r="C16" t="inlineStr">
        <is>
          <t>PagerDuty Integration</t>
        </is>
      </c>
      <c r="D16" t="inlineStr">
        <is>
          <t>Webhook verification and replay protection</t>
        </is>
      </c>
      <c r="E16" t="inlineStr">
        <is>
          <t>Not Started</t>
        </is>
      </c>
      <c r="F16" t="inlineStr">
        <is>
          <t>Critical</t>
        </is>
      </c>
      <c r="I16" t="inlineStr">
        <is>
          <t>Security requirement.</t>
        </is>
      </c>
    </row>
    <row r="17">
      <c r="A17" t="n">
        <v>99</v>
      </c>
      <c r="B17" t="inlineStr">
        <is>
          <t>Phase 10</t>
        </is>
      </c>
      <c r="C17" t="inlineStr">
        <is>
          <t>PagerDuty Integration</t>
        </is>
      </c>
      <c r="D17" t="inlineStr">
        <is>
          <t>Incident deduplication and idempotency</t>
        </is>
      </c>
      <c r="E17" t="inlineStr">
        <is>
          <t>Not Started</t>
        </is>
      </c>
      <c r="F17" t="inlineStr">
        <is>
          <t>Critical</t>
        </is>
      </c>
      <c r="I17" t="inlineStr">
        <is>
          <t>Production requirement.</t>
        </is>
      </c>
    </row>
    <row r="18">
      <c r="A18" t="n">
        <v>100</v>
      </c>
      <c r="B18" t="inlineStr">
        <is>
          <t>Phase 10</t>
        </is>
      </c>
      <c r="C18" t="inlineStr">
        <is>
          <t>PagerDuty Integration</t>
        </is>
      </c>
      <c r="D18" t="inlineStr">
        <is>
          <t>Trigger read-only investigation from incident</t>
        </is>
      </c>
      <c r="E18" t="inlineStr">
        <is>
          <t>Not Started</t>
        </is>
      </c>
      <c r="F18" t="inlineStr">
        <is>
          <t>Critical</t>
        </is>
      </c>
      <c r="I18" t="inlineStr">
        <is>
          <t>Core integration goal.</t>
        </is>
      </c>
    </row>
    <row r="19">
      <c r="A19" t="n">
        <v>101</v>
      </c>
      <c r="B19" t="inlineStr">
        <is>
          <t>Phase 10</t>
        </is>
      </c>
      <c r="C19" t="inlineStr">
        <is>
          <t>PagerDuty Integration</t>
        </is>
      </c>
      <c r="D19" t="inlineStr">
        <is>
          <t>Post RCA draft back to PagerDuty</t>
        </is>
      </c>
      <c r="E19" t="inlineStr">
        <is>
          <t>Not Started</t>
        </is>
      </c>
      <c r="F19" t="inlineStr">
        <is>
          <t>High</t>
        </is>
      </c>
      <c r="I19" t="inlineStr">
        <is>
          <t>Include evidence/confidence/unknowns/next checks.</t>
        </is>
      </c>
    </row>
    <row r="20">
      <c r="A20" t="n">
        <v>102</v>
      </c>
      <c r="B20" t="inlineStr">
        <is>
          <t>Phase 11</t>
        </is>
      </c>
      <c r="C20" t="inlineStr">
        <is>
          <t>Additional MCP Sources</t>
        </is>
      </c>
      <c r="D20" t="inlineStr">
        <is>
          <t>Prometheus integration</t>
        </is>
      </c>
      <c r="E20" t="inlineStr">
        <is>
          <t>Not Started</t>
        </is>
      </c>
      <c r="F20" t="inlineStr">
        <is>
          <t>Low</t>
        </is>
      </c>
      <c r="I20" t="inlineStr">
        <is>
          <t>Future phase.</t>
        </is>
      </c>
    </row>
    <row r="21">
      <c r="A21" t="n">
        <v>103</v>
      </c>
      <c r="B21" t="inlineStr">
        <is>
          <t>Phase 11</t>
        </is>
      </c>
      <c r="C21" t="inlineStr">
        <is>
          <t>Additional MCP Sources</t>
        </is>
      </c>
      <c r="D21" t="inlineStr">
        <is>
          <t>Grafana integration</t>
        </is>
      </c>
      <c r="E21" t="inlineStr">
        <is>
          <t>Not Started</t>
        </is>
      </c>
      <c r="F21" t="inlineStr">
        <is>
          <t>Low</t>
        </is>
      </c>
      <c r="I21" t="inlineStr">
        <is>
          <t>Future phase.</t>
        </is>
      </c>
    </row>
    <row r="22">
      <c r="A22" t="n">
        <v>104</v>
      </c>
      <c r="B22" t="inlineStr">
        <is>
          <t>Phase 11</t>
        </is>
      </c>
      <c r="C22" t="inlineStr">
        <is>
          <t>Additional MCP Sources</t>
        </is>
      </c>
      <c r="D22" t="inlineStr">
        <is>
          <t>Elastic / Elasticsearch integration</t>
        </is>
      </c>
      <c r="E22" t="inlineStr">
        <is>
          <t>Not Started</t>
        </is>
      </c>
      <c r="F22" t="inlineStr">
        <is>
          <t>Low</t>
        </is>
      </c>
      <c r="I22" t="inlineStr">
        <is>
          <t>Future phase.</t>
        </is>
      </c>
    </row>
    <row r="23">
      <c r="A23" t="n">
        <v>105</v>
      </c>
      <c r="B23" t="inlineStr">
        <is>
          <t>Phase 11</t>
        </is>
      </c>
      <c r="C23" t="inlineStr">
        <is>
          <t>Additional MCP Sources</t>
        </is>
      </c>
      <c r="D23" t="inlineStr">
        <is>
          <t>Cloud Logging integration</t>
        </is>
      </c>
      <c r="E23" t="inlineStr">
        <is>
          <t>Not Started</t>
        </is>
      </c>
      <c r="F23" t="inlineStr">
        <is>
          <t>Medium</t>
        </is>
      </c>
      <c r="I23" t="inlineStr">
        <is>
          <t>Future evidence source.</t>
        </is>
      </c>
    </row>
    <row r="24">
      <c r="A24" t="n">
        <v>106</v>
      </c>
      <c r="B24" t="inlineStr">
        <is>
          <t>Phase 11</t>
        </is>
      </c>
      <c r="C24" t="inlineStr">
        <is>
          <t>Additional MCP Sources</t>
        </is>
      </c>
      <c r="D24" t="inlineStr">
        <is>
          <t>Confluence/runbook integration</t>
        </is>
      </c>
      <c r="E24" t="inlineStr">
        <is>
          <t>Not Started</t>
        </is>
      </c>
      <c r="F24" t="inlineStr">
        <is>
          <t>Low</t>
        </is>
      </c>
      <c r="I24" t="inlineStr">
        <is>
          <t>Future phase.</t>
        </is>
      </c>
    </row>
    <row r="25">
      <c r="A25" t="n">
        <v>107</v>
      </c>
      <c r="B25" t="inlineStr">
        <is>
          <t>Phase 11</t>
        </is>
      </c>
      <c r="C25" t="inlineStr">
        <is>
          <t>Additional MCP Sources</t>
        </is>
      </c>
      <c r="D25" t="inlineStr">
        <is>
          <t>GitHub integration</t>
        </is>
      </c>
      <c r="E25" t="inlineStr">
        <is>
          <t>Not Started</t>
        </is>
      </c>
      <c r="F25" t="inlineStr">
        <is>
          <t>Low</t>
        </is>
      </c>
      <c r="I25" t="inlineStr">
        <is>
          <t>Future phase.</t>
        </is>
      </c>
    </row>
    <row r="26">
      <c r="A26" t="n">
        <v>108</v>
      </c>
      <c r="B26" t="inlineStr">
        <is>
          <t>Phase 11</t>
        </is>
      </c>
      <c r="C26" t="inlineStr">
        <is>
          <t>Additional MCP Sources</t>
        </is>
      </c>
      <c r="D26" t="inlineStr">
        <is>
          <t>Normalized traceable evidence for every source</t>
        </is>
      </c>
      <c r="E26" t="inlineStr">
        <is>
          <t>Not Started</t>
        </is>
      </c>
      <c r="F26" t="inlineStr">
        <is>
          <t>High</t>
        </is>
      </c>
      <c r="I26" t="inlineStr">
        <is>
          <t>Depends on MCP abstraction.</t>
        </is>
      </c>
    </row>
    <row r="27">
      <c r="A27" t="n">
        <v>111</v>
      </c>
      <c r="B27" t="inlineStr">
        <is>
          <t>Phase 12</t>
        </is>
      </c>
      <c r="C27" t="inlineStr">
        <is>
          <t>On-Premises Kubernetes</t>
        </is>
      </c>
      <c r="D27" t="inlineStr">
        <is>
          <t>Validate supported agent-authentication model</t>
        </is>
      </c>
      <c r="E27" t="inlineStr">
        <is>
          <t>Not Started</t>
        </is>
      </c>
      <c r="F27" t="inlineStr">
        <is>
          <t>High</t>
        </is>
      </c>
      <c r="I27" t="inlineStr">
        <is>
          <t>Need short-lived supported auth.</t>
        </is>
      </c>
    </row>
    <row r="28">
      <c r="A28" t="n">
        <v>112</v>
      </c>
      <c r="B28" t="inlineStr">
        <is>
          <t>Phase 12</t>
        </is>
      </c>
      <c r="C28" t="inlineStr">
        <is>
          <t>On-Premises Kubernetes</t>
        </is>
      </c>
      <c r="D28" t="inlineStr">
        <is>
          <t>Validate IAM and Kubernetes RBAC</t>
        </is>
      </c>
      <c r="E28" t="inlineStr">
        <is>
          <t>Not Started</t>
        </is>
      </c>
      <c r="F28" t="inlineStr">
        <is>
          <t>Critical</t>
        </is>
      </c>
      <c r="I28" t="inlineStr">
        <is>
          <t>Production security requirement.</t>
        </is>
      </c>
    </row>
    <row r="29">
      <c r="A29" t="n">
        <v>113</v>
      </c>
      <c r="B29" t="inlineStr">
        <is>
          <t>Phase 12</t>
        </is>
      </c>
      <c r="C29" t="inlineStr">
        <is>
          <t>On-Premises Kubernetes</t>
        </is>
      </c>
      <c r="D29" t="inlineStr">
        <is>
          <t>Test read-only access to real on-prem cluster</t>
        </is>
      </c>
      <c r="E29" t="inlineStr">
        <is>
          <t>Not Started</t>
        </is>
      </c>
      <c r="F29" t="inlineStr">
        <is>
          <t>High</t>
        </is>
      </c>
      <c r="I29" t="inlineStr">
        <is>
          <t>Prototype is not production validation.</t>
        </is>
      </c>
    </row>
    <row r="30">
      <c r="A30" t="n">
        <v>114</v>
      </c>
      <c r="B30" t="inlineStr">
        <is>
          <t>Phase 12</t>
        </is>
      </c>
      <c r="C30" t="inlineStr">
        <is>
          <t>On-Premises Kubernetes</t>
        </is>
      </c>
      <c r="D30" t="inlineStr">
        <is>
          <t>Review audit logs, latency, quotas and isolation</t>
        </is>
      </c>
      <c r="E30" t="inlineStr">
        <is>
          <t>Not Started</t>
        </is>
      </c>
      <c r="F30" t="inlineStr">
        <is>
          <t>High</t>
        </is>
      </c>
      <c r="I30" t="inlineStr">
        <is>
          <t>Reliability requirement.</t>
        </is>
      </c>
    </row>
    <row r="31">
      <c r="A31" t="n">
        <v>115</v>
      </c>
      <c r="B31" t="inlineStr">
        <is>
          <t>Phase 12</t>
        </is>
      </c>
      <c r="C31" t="inlineStr">
        <is>
          <t>On-Premises Kubernetes</t>
        </is>
      </c>
      <c r="D31" t="inlineStr">
        <is>
          <t>Document onboarding/removal runbook</t>
        </is>
      </c>
      <c r="E31" t="inlineStr">
        <is>
          <t>Not Started</t>
        </is>
      </c>
      <c r="F31" t="inlineStr">
        <is>
          <t>Medium</t>
        </is>
      </c>
      <c r="I31" t="inlineStr">
        <is>
          <t>After path validation.</t>
        </is>
      </c>
    </row>
    <row r="32">
      <c r="A32" t="n">
        <v>128</v>
      </c>
      <c r="B32" t="inlineStr">
        <is>
          <t>Final</t>
        </is>
      </c>
      <c r="C32" t="inlineStr">
        <is>
          <t>Final Production Approval</t>
        </is>
      </c>
      <c r="D32" t="inlineStr">
        <is>
          <t>Final architecture review</t>
        </is>
      </c>
      <c r="E32" t="inlineStr">
        <is>
          <t>Not Started</t>
        </is>
      </c>
      <c r="F32" t="inlineStr">
        <is>
          <t>Critical</t>
        </is>
      </c>
      <c r="I32" t="inlineStr">
        <is>
          <t>Production gate.</t>
        </is>
      </c>
    </row>
    <row r="33">
      <c r="A33" t="n">
        <v>129</v>
      </c>
      <c r="B33" t="inlineStr">
        <is>
          <t>Final</t>
        </is>
      </c>
      <c r="C33" t="inlineStr">
        <is>
          <t>Final Production Approval</t>
        </is>
      </c>
      <c r="D33" t="inlineStr">
        <is>
          <t>Final security review</t>
        </is>
      </c>
      <c r="E33" t="inlineStr">
        <is>
          <t>Not Started</t>
        </is>
      </c>
      <c r="F33" t="inlineStr">
        <is>
          <t>Critical</t>
        </is>
      </c>
      <c r="I33" t="inlineStr">
        <is>
          <t>Production gate.</t>
        </is>
      </c>
    </row>
    <row r="34">
      <c r="A34" t="n">
        <v>130</v>
      </c>
      <c r="B34" t="inlineStr">
        <is>
          <t>Final</t>
        </is>
      </c>
      <c r="C34" t="inlineStr">
        <is>
          <t>Final Production Approval</t>
        </is>
      </c>
      <c r="D34" t="inlineStr">
        <is>
          <t>Final IAM review</t>
        </is>
      </c>
      <c r="E34" t="inlineStr">
        <is>
          <t>Not Started</t>
        </is>
      </c>
      <c r="F34" t="inlineStr">
        <is>
          <t>Critical</t>
        </is>
      </c>
      <c r="I34" t="inlineStr">
        <is>
          <t>Production gate.</t>
        </is>
      </c>
    </row>
    <row r="35">
      <c r="A35" t="n">
        <v>131</v>
      </c>
      <c r="B35" t="inlineStr">
        <is>
          <t>Final</t>
        </is>
      </c>
      <c r="C35" t="inlineStr">
        <is>
          <t>Final Production Approval</t>
        </is>
      </c>
      <c r="D35" t="inlineStr">
        <is>
          <t>Final Model Armor report/decision</t>
        </is>
      </c>
      <c r="E35" t="inlineStr">
        <is>
          <t>Not Started</t>
        </is>
      </c>
      <c r="F35" t="inlineStr">
        <is>
          <t>High</t>
        </is>
      </c>
      <c r="I35" t="inlineStr">
        <is>
          <t>Production gate.</t>
        </is>
      </c>
    </row>
    <row r="36">
      <c r="A36" t="n">
        <v>132</v>
      </c>
      <c r="B36" t="inlineStr">
        <is>
          <t>Final</t>
        </is>
      </c>
      <c r="C36" t="inlineStr">
        <is>
          <t>Final Production Approval</t>
        </is>
      </c>
      <c r="D36" t="inlineStr">
        <is>
          <t>Final RCA accuracy and confidence evaluation</t>
        </is>
      </c>
      <c r="E36" t="inlineStr">
        <is>
          <t>Not Started</t>
        </is>
      </c>
      <c r="F36" t="inlineStr">
        <is>
          <t>Critical</t>
        </is>
      </c>
      <c r="I36" t="inlineStr">
        <is>
          <t>Production gate.</t>
        </is>
      </c>
    </row>
    <row r="37">
      <c r="A37" t="n">
        <v>133</v>
      </c>
      <c r="B37" t="inlineStr">
        <is>
          <t>Final</t>
        </is>
      </c>
      <c r="C37" t="inlineStr">
        <is>
          <t>Final Production Approval</t>
        </is>
      </c>
      <c r="D37" t="inlineStr">
        <is>
          <t>Monitoring and alert-delivery validation</t>
        </is>
      </c>
      <c r="E37" t="inlineStr">
        <is>
          <t>Not Started</t>
        </is>
      </c>
      <c r="F37" t="inlineStr">
        <is>
          <t>Critical</t>
        </is>
      </c>
      <c r="I37" t="inlineStr">
        <is>
          <t>Production gate.</t>
        </is>
      </c>
    </row>
    <row r="38">
      <c r="A38" t="n">
        <v>134</v>
      </c>
      <c r="B38" t="inlineStr">
        <is>
          <t>Final</t>
        </is>
      </c>
      <c r="C38" t="inlineStr">
        <is>
          <t>Final Production Approval</t>
        </is>
      </c>
      <c r="D38" t="inlineStr">
        <is>
          <t>Rollback and recovery testing</t>
        </is>
      </c>
      <c r="E38" t="inlineStr">
        <is>
          <t>Not Started</t>
        </is>
      </c>
      <c r="F38" t="inlineStr">
        <is>
          <t>Critical</t>
        </is>
      </c>
      <c r="I38" t="inlineStr">
        <is>
          <t>Production gate.</t>
        </is>
      </c>
    </row>
    <row r="39">
      <c r="A39" t="n">
        <v>135</v>
      </c>
      <c r="B39" t="inlineStr">
        <is>
          <t>Final</t>
        </is>
      </c>
      <c r="C39" t="inlineStr">
        <is>
          <t>Final Production Approval</t>
        </is>
      </c>
      <c r="D39" t="inlineStr">
        <is>
          <t>Document known limitations and accepted risks</t>
        </is>
      </c>
      <c r="E39" t="inlineStr">
        <is>
          <t>Not Started</t>
        </is>
      </c>
      <c r="F39" t="inlineStr">
        <is>
          <t>High</t>
        </is>
      </c>
      <c r="I39" t="inlineStr">
        <is>
          <t>Production gate.</t>
        </is>
      </c>
    </row>
    <row r="40">
      <c r="A40" t="n">
        <v>136</v>
      </c>
      <c r="B40" t="inlineStr">
        <is>
          <t>Final</t>
        </is>
      </c>
      <c r="C40" t="inlineStr">
        <is>
          <t>Final Production Approval</t>
        </is>
      </c>
      <c r="D40" t="inlineStr">
        <is>
          <t>Human approval before production rollout</t>
        </is>
      </c>
      <c r="E40" t="inlineStr">
        <is>
          <t>Not Started</t>
        </is>
      </c>
      <c r="F40" t="inlineStr">
        <is>
          <t>Critical</t>
        </is>
      </c>
      <c r="I40" t="inlineStr">
        <is>
          <t>Required by design.</t>
        </is>
      </c>
    </row>
    <row r="41">
      <c r="A41" t="n">
        <v>158</v>
      </c>
      <c r="B41" t="inlineStr">
        <is>
          <t>Phase 3</t>
        </is>
      </c>
      <c r="C41" t="inlineStr">
        <is>
          <t>RCA Output &amp; Evidence</t>
        </is>
      </c>
      <c r="D41" t="inlineStr">
        <is>
          <t>Container-aware evidence collection and attribution (multi-container/sidecar pods)</t>
        </is>
      </c>
      <c r="E41" t="inlineStr">
        <is>
          <t>Not Started</t>
        </is>
      </c>
      <c r="F41" t="inlineStr">
        <is>
          <t>Critical</t>
        </is>
      </c>
      <c r="I41" t="inlineStr">
        <is>
          <t>Confirmed 2026-08-21/22: ALL workloads on the target GKE Autopilot clusters run an Istio sidecar -- this affects every investigation, not an edge case. Confirmed gap, 3 layers, read directly from code: (1) agent/mcp_client.py:306-317's GKE Remote MCP payload builder for get_k8s_logs never forwards a container argument even though the API supports one (custom MCP's mcp/tools/logs.py already does this correctly); (2) agent/nodes/evidence_extractor.py's evidence schema has no container field and never surfaces describe_pod_detail's own containers/container_statuses into the evidence the LLM reasons over; (3) agent/prompts.py's tool-selection prompt has no language teaching the model that a pod can have multiple containers, and mcp_router.py's auto-fill only ever sets namespace/pod. Scope, deliberately narrow -- data plumbing and prompt fix, not a redesign: forward the container arg on the GKE path, surface containers/container_statuses into key_facts, add container-selection guidance to the tool-selection prompt, add a container field to the evidence schema. Required before Milestone 1 (GKE pilot) per management direction 2026-08-22 -- every pilot target has this. See EXT-003 (External Dependencies worksheet) for the corresponding real work-cluster observation.</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5"/>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35</v>
      </c>
      <c r="B2" t="inlineStr">
        <is>
          <t>Phase 3</t>
        </is>
      </c>
      <c r="C2" t="inlineStr">
        <is>
          <t>RCA Output &amp; Evidence</t>
        </is>
      </c>
      <c r="D2" t="inlineStr">
        <is>
          <t>Service/user-impact detection</t>
        </is>
      </c>
      <c r="E2" t="inlineStr">
        <is>
          <t>Blocked</t>
        </is>
      </c>
      <c r="F2" t="inlineStr">
        <is>
          <t>Critical</t>
        </is>
      </c>
      <c r="I2" t="inlineStr">
        <is>
          <t>Impact is not reliably derived yet.</t>
        </is>
      </c>
    </row>
    <row r="3">
      <c r="A3" t="n">
        <v>51</v>
      </c>
      <c r="B3" t="inlineStr">
        <is>
          <t>Phase 5</t>
        </is>
      </c>
      <c r="C3" t="inlineStr">
        <is>
          <t>Testing &amp; Evaluation</t>
        </is>
      </c>
      <c r="D3" t="inlineStr">
        <is>
          <t>Full compiled graph E2E test</t>
        </is>
      </c>
      <c r="E3" t="inlineStr">
        <is>
          <t>Blocked</t>
        </is>
      </c>
      <c r="F3" t="inlineStr">
        <is>
          <t>Critical</t>
        </is>
      </c>
      <c r="I3" t="inlineStr">
        <is>
          <t>Required production validation gap.</t>
        </is>
      </c>
    </row>
    <row r="4">
      <c r="A4" t="n">
        <v>52</v>
      </c>
      <c r="B4" t="inlineStr">
        <is>
          <t>Phase 5</t>
        </is>
      </c>
      <c r="C4" t="inlineStr">
        <is>
          <t>Testing &amp; Evaluation</t>
        </is>
      </c>
      <c r="D4" t="inlineStr">
        <is>
          <t>Entrypoint → Agent → MCP → Evidence → Scorer E2E evaluation</t>
        </is>
      </c>
      <c r="E4" t="inlineStr">
        <is>
          <t>Blocked</t>
        </is>
      </c>
      <c r="F4" t="inlineStr">
        <is>
          <t>Critical</t>
        </is>
      </c>
      <c r="I4" t="inlineStr">
        <is>
          <t>Must prove full workflow.</t>
        </is>
      </c>
    </row>
    <row r="5">
      <c r="A5" t="n">
        <v>86</v>
      </c>
      <c r="B5" t="inlineStr">
        <is>
          <t>Phase 8</t>
        </is>
      </c>
      <c r="C5" t="inlineStr">
        <is>
          <t>MCP Tool Architecture</t>
        </is>
      </c>
      <c r="D5" t="inlineStr">
        <is>
          <t>Deploy Custom Kubernetes MCP in cloud</t>
        </is>
      </c>
      <c r="E5" t="inlineStr">
        <is>
          <t>Blocked</t>
        </is>
      </c>
      <c r="F5" t="inlineStr">
        <is>
          <t>Critical</t>
        </is>
      </c>
      <c r="I5" t="inlineStr">
        <is>
          <t>Required for non-GKE path.</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60" customWidth="1" min="4" max="4"/>
    <col width="80" customWidth="1" min="9" max="9"/>
  </cols>
  <sheetData>
    <row r="1">
      <c r="A1" s="3" t="inlineStr">
        <is>
          <t>ID</t>
        </is>
      </c>
      <c r="B1" s="3" t="inlineStr">
        <is>
          <t>Phase</t>
        </is>
      </c>
      <c r="C1" s="3" t="inlineStr">
        <is>
          <t>Workstream</t>
        </is>
      </c>
      <c r="D1" s="3" t="inlineStr">
        <is>
          <t>Task</t>
        </is>
      </c>
      <c r="E1" s="3" t="inlineStr">
        <is>
          <t>Status</t>
        </is>
      </c>
      <c r="F1" s="3" t="inlineStr">
        <is>
          <t>Priority</t>
        </is>
      </c>
      <c r="G1" s="3" t="inlineStr">
        <is>
          <t>Owner</t>
        </is>
      </c>
      <c r="H1" s="3" t="inlineStr">
        <is>
          <t>Target Date</t>
        </is>
      </c>
      <c r="I1" s="3" t="inlineStr">
        <is>
          <t>Notes</t>
        </is>
      </c>
    </row>
    <row r="2">
      <c r="A2" t="n">
        <v>57</v>
      </c>
      <c r="B2" t="inlineStr">
        <is>
          <t>Phase 5</t>
        </is>
      </c>
      <c r="C2" t="inlineStr">
        <is>
          <t>Testing &amp; Evaluation</t>
        </is>
      </c>
      <c r="D2" t="inlineStr">
        <is>
          <t>Structured engineer-feedback process</t>
        </is>
      </c>
      <c r="E2" t="inlineStr">
        <is>
          <t>Deferred</t>
        </is>
      </c>
      <c r="F2" t="inlineStr">
        <is>
          <t>Low</t>
        </is>
      </c>
      <c r="I2" t="inlineStr">
        <is>
          <t>Phase 2 enhancement.</t>
        </is>
      </c>
    </row>
    <row r="3">
      <c r="A3" t="n">
        <v>94</v>
      </c>
      <c r="B3" t="inlineStr">
        <is>
          <t>Phase 9</t>
        </is>
      </c>
      <c r="C3" t="inlineStr">
        <is>
          <t>Cost &amp; Performance</t>
        </is>
      </c>
      <c r="D3" t="inlineStr">
        <is>
          <t>Advanced caching and dynamic pricing</t>
        </is>
      </c>
      <c r="E3" t="inlineStr">
        <is>
          <t>Deferred</t>
        </is>
      </c>
      <c r="F3" t="inlineStr">
        <is>
          <t>Low</t>
        </is>
      </c>
      <c r="I3" t="inlineStr">
        <is>
          <t>Phase 2 optimization.</t>
        </is>
      </c>
    </row>
    <row r="4">
      <c r="A4" t="n">
        <v>124</v>
      </c>
      <c r="B4" t="inlineStr">
        <is>
          <t>Phase 13</t>
        </is>
      </c>
      <c r="C4" t="inlineStr">
        <is>
          <t>Security &amp; Supply Chain</t>
        </is>
      </c>
      <c r="D4" t="inlineStr">
        <is>
          <t>VPC-SC / additional network hardening</t>
        </is>
      </c>
      <c r="E4" t="inlineStr">
        <is>
          <t>Deferred</t>
        </is>
      </c>
      <c r="F4" t="inlineStr">
        <is>
          <t>Low</t>
        </is>
      </c>
      <c r="I4" t="inlineStr">
        <is>
          <t>Phase 2 unless required earlier.</t>
        </is>
      </c>
    </row>
    <row r="5">
      <c r="A5" t="n">
        <v>125</v>
      </c>
      <c r="B5" t="inlineStr">
        <is>
          <t>Phase 14</t>
        </is>
      </c>
      <c r="C5" t="inlineStr">
        <is>
          <t>ADK Migration Assessment</t>
        </is>
      </c>
      <c r="D5" t="inlineStr">
        <is>
          <t>ADK architecture comparison</t>
        </is>
      </c>
      <c r="E5" t="inlineStr">
        <is>
          <t>Deferred</t>
        </is>
      </c>
      <c r="F5" t="inlineStr">
        <is>
          <t>Low</t>
        </is>
      </c>
      <c r="I5" t="inlineStr">
        <is>
          <t>Do not disrupt working LangGraph path during Phase 1.</t>
        </is>
      </c>
    </row>
    <row r="6">
      <c r="A6" t="n">
        <v>126</v>
      </c>
      <c r="B6" t="inlineStr">
        <is>
          <t>Phase 14</t>
        </is>
      </c>
      <c r="C6" t="inlineStr">
        <is>
          <t>ADK Migration Assessment</t>
        </is>
      </c>
      <c r="D6" t="inlineStr">
        <is>
          <t>ADK proof of concept and parity evaluation</t>
        </is>
      </c>
      <c r="E6" t="inlineStr">
        <is>
          <t>Deferred</t>
        </is>
      </c>
      <c r="F6" t="inlineStr">
        <is>
          <t>Low</t>
        </is>
      </c>
      <c r="I6" t="inlineStr">
        <is>
          <t>Phase 2.</t>
        </is>
      </c>
    </row>
    <row r="7">
      <c r="A7" t="n">
        <v>127</v>
      </c>
      <c r="B7" t="inlineStr">
        <is>
          <t>Phase 14</t>
        </is>
      </c>
      <c r="C7" t="inlineStr">
        <is>
          <t>ADK Migration Assessment</t>
        </is>
      </c>
      <c r="D7" t="inlineStr">
        <is>
          <t>Migration decision</t>
        </is>
      </c>
      <c r="E7" t="inlineStr">
        <is>
          <t>Deferred</t>
        </is>
      </c>
      <c r="F7" t="inlineStr">
        <is>
          <t>Low</t>
        </is>
      </c>
      <c r="I7" t="inlineStr">
        <is>
          <t>After MVP is stable.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2026-08-12T05:54:09Z</dcterms:created>
  <dcterms:modified xsi:type="dcterms:W3CDTF">2026-09-06T22:10:05Z</dcterms:modified>
</cp:coreProperties>
</file>
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PR #104 deployed successfully. Agent Engine updated in place. Normal-path end-to-end regression passed, but safety_budget_exceeded was not exercised live. Google support assistance needed -- a single consolidated support case (covering this and any other open vendor questions) is being prepared, not yet submitted. Status will move to "Waiting on Google Support" once a real case ID exists.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Completed</t>
        </is>
      </c>
      <c r="F139" t="inlineStr">
        <is>
          <t>High</t>
        </is>
      </c>
      <c r="I139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140">
      <c r="A140" t="n">
        <v>139</v>
      </c>
      <c r="B140" t="inlineStr">
        <is>
          <t>Phase 1</t>
        </is>
      </c>
      <c r="C140" t="inlineStr">
        <is>
          <t>Production Readiness</t>
        </is>
      </c>
      <c r="D140" t="inlineStr">
        <is>
          <t>Issue #64: google_billing_budget shown in architecture docs is not provisioned in Terraform</t>
        </is>
      </c>
      <c r="E140" t="inlineStr">
        <is>
          <t>Completed</t>
        </is>
      </c>
      <c r="F140" t="inlineStr">
        <is>
          <t>Low</t>
        </is>
      </c>
      <c r="I140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141">
      <c r="A141" t="n">
        <v>140</v>
      </c>
      <c r="B141" t="inlineStr">
        <is>
          <t>Phase 1</t>
        </is>
      </c>
      <c r="C141" t="inlineStr">
        <is>
          <t>Production Readiness</t>
        </is>
      </c>
      <c r="D141" t="inlineStr">
        <is>
          <t>Issue #92: Agent has no pod-log-read permission on the target GKE cluster -- logs unavailable for every incident</t>
        </is>
      </c>
      <c r="E141" t="inlineStr">
        <is>
          <t>Completed</t>
        </is>
      </c>
      <c r="F141" t="inlineStr">
        <is>
          <t>P0-quick-fix</t>
        </is>
      </c>
      <c r="I141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142">
      <c r="A142" t="n">
        <v>141</v>
      </c>
      <c r="B142" t="inlineStr">
        <is>
          <t>Phase 1</t>
        </is>
      </c>
      <c r="C142" t="inlineStr">
        <is>
          <t>Production Readiness</t>
        </is>
      </c>
      <c r="D142" t="inlineStr">
        <is>
          <t>Issue #67: resource_identity_match only checks cluster, ignoring namespace and pod</t>
        </is>
      </c>
      <c r="E142" t="inlineStr">
        <is>
          <t>Completed</t>
        </is>
      </c>
      <c r="F142" t="inlineStr">
        <is>
          <t>P1-small-fix</t>
        </is>
      </c>
      <c r="I142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143">
      <c r="A143" t="n">
        <v>142</v>
      </c>
      <c r="B143" t="inlineStr">
        <is>
          <t>Phase 1</t>
        </is>
      </c>
      <c r="C143" t="inlineStr">
        <is>
          <t>Production Readiness</t>
        </is>
      </c>
      <c r="D143" t="inlineStr">
        <is>
          <t>Issue #68: time_correlation and freshness scoring do not evaluate real evidence timestamps</t>
        </is>
      </c>
      <c r="E143" t="inlineStr">
        <is>
          <t>Completed</t>
        </is>
      </c>
      <c r="F143" t="inlineStr">
        <is>
          <t>P1-small-fix</t>
        </is>
      </c>
      <c r="I143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144">
      <c r="A144" t="n">
        <v>143</v>
      </c>
      <c r="B144" t="inlineStr">
        <is>
          <t>Phase 1</t>
        </is>
      </c>
      <c r="C144" t="inlineStr">
        <is>
          <t>Production Readiness</t>
        </is>
      </c>
      <c r="D144" t="inlineStr">
        <is>
          <t>Issue #69: investigation loop can exit while required evidence domains are still missing</t>
        </is>
      </c>
      <c r="E144" t="inlineStr">
        <is>
          <t>Completed</t>
        </is>
      </c>
      <c r="F144" t="inlineStr">
        <is>
          <t>P1-small-fix</t>
        </is>
      </c>
      <c r="I144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145">
      <c r="A145" t="n">
        <v>144</v>
      </c>
      <c r="B145" t="inlineStr">
        <is>
          <t>Phase 1</t>
        </is>
      </c>
      <c r="C145" t="inlineStr">
        <is>
          <t>Production Readiness</t>
        </is>
      </c>
      <c r="D145" t="inlineStr">
        <is>
          <t>Issue #70: agent does not act on its own generated next investigative step before concluding</t>
        </is>
      </c>
      <c r="E145" t="inlineStr">
        <is>
          <t>Completed</t>
        </is>
      </c>
      <c r="F145" t="inlineStr">
        <is>
          <t>P1-small-fix</t>
        </is>
      </c>
      <c r="I145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146">
      <c r="A146" t="n">
        <v>145</v>
      </c>
      <c r="B146" t="inlineStr">
        <is>
          <t>Phase 1</t>
        </is>
      </c>
      <c r="C146" t="inlineStr">
        <is>
          <t>Production Readiness</t>
        </is>
      </c>
      <c r="D146" t="inlineStr">
        <is>
          <t>Issue #71: MCP fallback audit trail records the requested tool, not what actually executed</t>
        </is>
      </c>
      <c r="E146" t="inlineStr">
        <is>
          <t>Completed</t>
        </is>
      </c>
      <c r="F146" t="inlineStr">
        <is>
          <t>P1-small-fix</t>
        </is>
      </c>
      <c r="I146" t="inlineStr">
        <is>
          <t>Fixed 2026-08-12 (PR #125). tool_history/latest_tool_result now record call_tool()'s actual executed tool/mcp_source, not the pre-call request. 3 new regression tests.</t>
        </is>
      </c>
    </row>
    <row r="147">
      <c r="A147" t="n">
        <v>146</v>
      </c>
      <c r="B147" t="inlineStr">
        <is>
          <t>Phase 1</t>
        </is>
      </c>
      <c r="C147" t="inlineStr">
        <is>
          <t>Production Readiness</t>
        </is>
      </c>
      <c r="D147" t="inlineStr">
        <is>
          <t>Issue #72: MCP fallback does not trigger on network errors and has an invalid tool mapping</t>
        </is>
      </c>
      <c r="E147" t="inlineStr">
        <is>
          <t>Completed</t>
        </is>
      </c>
      <c r="F147" t="inlineStr">
        <is>
          <t>P1-small-fix</t>
        </is>
      </c>
      <c r="I147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  <row r="148">
      <c r="A148" t="n">
        <v>147</v>
      </c>
      <c r="B148" t="inlineStr">
        <is>
          <t>Phase 1</t>
        </is>
      </c>
      <c r="C148" t="inlineStr">
        <is>
          <t>Production Readiness</t>
        </is>
      </c>
      <c r="D148" t="inlineStr">
        <is>
          <t>Issue #74: Gemini token/cost/latency counters are process-global, not scoped per investigation</t>
        </is>
      </c>
      <c r="E148" t="inlineStr">
        <is>
          <t>Completed</t>
        </is>
      </c>
      <c r="F148" t="inlineStr">
        <is>
          <t>P1-small-fix</t>
        </is>
      </c>
      <c r="I148" t="inlineStr">
        <is>
          <t>Fixed 2026-08-12 (PR #127). GeminiAdapter is cached process-wide and reused across investigations -- added reset_session(), called at the start of every investigation in agent/main.py investigate(). 5 new regression tests, full suite 195/195 pass.</t>
        </is>
      </c>
    </row>
    <row r="149">
      <c r="A149" t="n">
        <v>148</v>
      </c>
      <c r="B149" t="inlineStr">
        <is>
          <t>Phase 1</t>
        </is>
      </c>
      <c r="C149" t="inlineStr">
        <is>
          <t>Production Readiness</t>
        </is>
      </c>
      <c r="D149" t="inlineStr">
        <is>
          <t>Issue #75: Duplicate completion log events not scoped by logName can double-count metrics</t>
        </is>
      </c>
      <c r="E149" t="inlineStr">
        <is>
          <t>Completed</t>
        </is>
      </c>
      <c r="F149" t="inlineStr">
        <is>
          <t>P1-small-fix</t>
        </is>
      </c>
      <c r="I149" t="inlineStr">
        <is>
          <t>Fixed 2026-08-12 (PR #127). 8 of 9 completion-related log-based metrics in monitoring.tf were double-counting (2 separate completion events share overlapping field names). Restricted to event_type="sre_agent_run", matching the #63 token_usage fix. 9 new terraform tests, terraform plan clean (8 metrics update in-place).</t>
        </is>
      </c>
    </row>
    <row r="150">
      <c r="A150" t="n">
        <v>149</v>
      </c>
      <c r="B150" t="inlineStr">
        <is>
          <t>Phase 1</t>
        </is>
      </c>
      <c r="C150" t="inlineStr">
        <is>
          <t>Production Readiness</t>
        </is>
      </c>
      <c r="D150" t="inlineStr">
        <is>
          <t>Issue #76: Full prompt/response content capture enabled in tracing at 100% sample rate</t>
        </is>
      </c>
      <c r="E150" t="inlineStr">
        <is>
          <t>In Progress</t>
        </is>
      </c>
      <c r="F150" t="inlineStr">
        <is>
          <t>P1-small-fix</t>
        </is>
      </c>
      <c r="I150" t="inlineStr">
        <is>
          <t>Config fix merged and deployed (PR #127) -- OTEL_INSTRUMENTATION_GENAI_CAPTURE_MESSAGE_CONTENT set to false, Agent Engine ID unchanged (7801582006105538560). Live E2E validation attempted 2026-08-13 (run_20260813_045745_ainm) -- found the actual content-capturing library (opentelemetry-instrumentation-google-genai) was NEVER installed (not in agent/requirements.txt), meaning the flag was always a no-op and real risk was structurally zero throughout. Could NOT literally inspect a new trace as required -- Cloud Trace export itself appears broken for this deployment (trace_id empty on this run, zero traces found in Cloud Trace for the run window or project history beyond 2 old single-span traces). Filed as separate issue #130. Awaiting user decision on whether structural evidence (library absent) is sufficient to close #76, or whether it stays open until #130 is fixed and a real trace can be inspected.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Tracker'!D2:D137)</f>
        <v/>
      </c>
      <c r="D5" t="inlineStr">
        <is>
          <t>Critical</t>
        </is>
      </c>
      <c r="E5">
        <f>COUNTIF('Project Tracker'!F2:F137,"Critical")</f>
        <v/>
      </c>
    </row>
    <row r="6">
      <c r="A6" t="inlineStr">
        <is>
          <t>Completed</t>
        </is>
      </c>
      <c r="B6">
        <f>COUNTIF('Project Tracker'!E2:E137,"Completed")</f>
        <v/>
      </c>
      <c r="D6" t="inlineStr">
        <is>
          <t>High</t>
        </is>
      </c>
      <c r="E6">
        <f>COUNTIF('Project Tracker'!F2:F137,"High")</f>
        <v/>
      </c>
    </row>
    <row r="7">
      <c r="A7" t="inlineStr">
        <is>
          <t>In Progress</t>
        </is>
      </c>
      <c r="B7">
        <f>COUNTIF('Project Tracker'!E2:E137,"In Progress")</f>
        <v/>
      </c>
      <c r="D7" t="inlineStr">
        <is>
          <t>Medium</t>
        </is>
      </c>
      <c r="E7">
        <f>COUNTIF('Project Tracker'!F2:F137,"Medium")</f>
        <v/>
      </c>
    </row>
    <row r="8">
      <c r="A8" t="inlineStr">
        <is>
          <t>Blocked</t>
        </is>
      </c>
      <c r="B8">
        <f>COUNTIF('Project Tracker'!E2:E137,"Blocked")</f>
        <v/>
      </c>
      <c r="D8" t="inlineStr">
        <is>
          <t>Low</t>
        </is>
      </c>
      <c r="E8">
        <f>COUNTIF('Project Tracker'!F2:F137,"Low")</f>
        <v/>
      </c>
    </row>
    <row r="9">
      <c r="A9" t="inlineStr">
        <is>
          <t>Not Started</t>
        </is>
      </c>
      <c r="B9">
        <f>COUNTIF('Project Tracker'!E2:E137,"Not Started")</f>
        <v/>
      </c>
      <c r="D9" t="inlineStr">
        <is>
          <t>Deferred</t>
        </is>
      </c>
      <c r="E9">
        <f>COUNTIF('Project Tracker'!E2:E137,"Deferred")</f>
        <v/>
      </c>
    </row>
    <row r="10">
      <c r="A10" t="inlineStr">
        <is>
          <t>Waiting on Google Support</t>
        </is>
      </c>
      <c r="B10">
        <f>COUNTIF('Project Tracker'!E2:E139,"Waiting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2026-08-13T05:03:00Z</dcterms:modified>
</cp:coreProperties>
</file>
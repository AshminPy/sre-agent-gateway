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ject Tracker" sheetId="1" state="visible" r:id="rId1"/>
    <sheet xmlns:r="http://schemas.openxmlformats.org/officeDocument/2006/relationships" name="Dashboard" sheetId="2" state="visible" r:id="rId2"/>
    <sheet xmlns:r="http://schemas.openxmlformats.org/officeDocument/2006/relationships" name="Phase Summary" sheetId="3" state="visible" r:id="rId3"/>
    <sheet xmlns:r="http://schemas.openxmlformats.org/officeDocument/2006/relationships" name="Reference" sheetId="4" state="visible" r:id="rId4"/>
  </sheets>
  <definedNames/>
</workbook>
</file>

<file path=xl/styles.xml><?xml version="1.0" encoding="utf-8"?>
<styleSheet xmlns="http://schemas.openxmlformats.org/spreadsheetml/2006/main">
  <numFmts count="1">
    <numFmt numFmtId="164" formatCode="yyyy-mm-dd"/>
  </numFmts>
  <fonts count="4">
    <font>
      <name val="Carlito"/>
      <sz val="11"/>
    </font>
    <font>
      <name val="Carlito"/>
      <b val="1"/>
      <color rgb="FFFFFFFF"/>
      <sz val="11"/>
    </font>
    <font>
      <name val="Carlito"/>
      <b val="1"/>
      <color rgb="FFFFFFFF"/>
      <sz val="18"/>
    </font>
    <font>
      <name val="Carlito"/>
      <b val="1"/>
      <color rgb="FF1F4E78"/>
      <sz val="11"/>
    </font>
  </fonts>
  <fills count="5">
    <fill>
      <patternFill/>
    </fill>
    <fill>
      <patternFill patternType="gray125"/>
    </fill>
    <fill>
      <patternFill patternType="solid">
        <fgColor rgb="FF1F4E78"/>
      </patternFill>
    </fill>
    <fill>
      <patternFill patternType="solid">
        <fgColor rgb="FF5B9BD5"/>
      </patternFill>
    </fill>
    <fill>
      <patternFill patternType="solid">
        <fgColor rgb="FFD9EAF7"/>
      </patternFill>
    </fill>
  </fills>
  <borders count="2">
    <border/>
    <border/>
  </borders>
  <cellStyleXfs count="1">
    <xf numFmtId="0" fontId="0" fillId="0" borderId="1"/>
  </cellStyleXfs>
  <cellXfs count="3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0" fontId="2" fillId="2" borderId="0" pivotButton="0" quotePrefix="0" xfId="0"/>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pivotButton="0" quotePrefix="0" xfId="0"/>
    <xf numFmtId="0" fontId="2" fillId="2" borderId="1" applyAlignment="1" pivotButton="0" quotePrefix="0" xfId="0">
      <alignment horizontal="center"/>
    </xf>
    <xf numFmtId="0" fontId="2"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164" fontId="0" fillId="0" borderId="0" applyAlignment="1" pivotButton="0" quotePrefix="0" xfId="0">
      <alignment wrapText="1"/>
    </xf>
  </cellXfs>
  <cellStyles count="1">
    <cellStyle name="Normal" xfId="0"/>
  </cellStyles>
  <dxfs count="5">
    <dxf>
      <font>
        <color rgb="FF006100"/>
      </font>
      <fill>
        <patternFill patternType="solid">
          <bgColor rgb="FFC6EFCE"/>
        </patternFill>
      </fill>
    </dxf>
    <dxf>
      <font>
        <color rgb="FF7F6000"/>
      </font>
      <fill>
        <patternFill patternType="solid">
          <bgColor rgb="FFFFF2CC"/>
        </patternFill>
      </fill>
    </dxf>
    <dxf>
      <font>
        <color rgb="FF595959"/>
      </font>
      <fill>
        <patternFill patternType="solid">
          <bgColor rgb="FFE7E6E6"/>
        </patternFill>
      </fill>
    </dxf>
    <dxf>
      <font>
        <b val="1"/>
        <color rgb="FF9C0006"/>
      </font>
      <fill>
        <patternFill patternType="solid">
          <bgColor rgb="FFF4CCCC"/>
        </patternFill>
      </fill>
    </dxf>
    <dxf>
      <font>
        <color rgb="FF1F4E78"/>
      </font>
      <fill>
        <patternFill patternType="solid">
          <bgColor rgb="FFD9EAF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Tasks by Status</a:t>
            </a:r>
          </a:p>
        </rich>
      </tx>
    </title>
    <plotArea>
      <barChart>
        <barDir val="col"/>
        <grouping val="clustered"/>
        <varyColors val="0"/>
        <ser>
          <idx val="0"/>
          <order val="0"/>
          <tx>
            <v>Series 1</v>
          </tx>
          <spPr>
            <a:ln xmlns:a="http://schemas.openxmlformats.org/drawingml/2006/main">
              <a:prstDash val="solid"/>
            </a:ln>
          </spPr>
          <cat>
            <strRef>
              <f>'Dashboard'!$A$5:$A$9</f>
              <strCache>
                <ptCount val="0"/>
              </strCache>
            </strRef>
          </cat>
          <val>
            <numRef>
              <f>'Dashboard'!$B$5:$B$9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3</row>
      <rowOff>0</rowOff>
    </from>
    <to>
      <col>14</col>
      <colOff>0</colOff>
      <row>16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ProjectTrackerTable" displayName="ProjectTrackerTable" ref="A1:I137" headerRowCount="1" totalsRowCount="0" totalsRowShown="0">
  <tableColumns count="9">
    <tableColumn id="1" name="ID"/>
    <tableColumn id="2" name="Phase"/>
    <tableColumn id="3" name="Workstream"/>
    <tableColumn id="4" name="Task"/>
    <tableColumn id="5" name="Status"/>
    <tableColumn id="6" name="Priority"/>
    <tableColumn id="7" name="Owner"/>
    <tableColumn id="8" name="Target Date"/>
    <tableColumn id="9" name="Notes"/>
  </tableColumns>
  <tableStyleInfo name="TableStyleMedium2" showFirstColumn="0" showLastColumn="0" showRowStripes="1" showColumnStripes="0"/>
</table>
</file>

<file path=xl/tables/table2.xml><?xml version="1.0" encoding="utf-8"?>
<table xmlns="http://schemas.openxmlformats.org/spreadsheetml/2006/main" id="2" name="PhaseSummaryTable" displayName="PhaseSummaryTable" ref="A1:G17" headerRowCount="1" totalsRowCount="0" totalsRowShown="0">
  <tableColumns count="7">
    <tableColumn id="1" name="Phase"/>
    <tableColumn id="2" name="Workstream"/>
    <tableColumn id="3" name="Total"/>
    <tableColumn id="4" name="Completed"/>
    <tableColumn id="5" name="In Progress"/>
    <tableColumn id="6" name="Blocked"/>
    <tableColumn id="7" name="Not Start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I154"/>
  <sheetViews>
    <sheetView workbookViewId="0">
      <selection activeCell="A1" sqref="A1"/>
    </sheetView>
  </sheetViews>
  <sheetFormatPr baseColWidth="8" defaultRowHeight="15"/>
  <cols>
    <col width="7" customWidth="1" min="1" max="1"/>
    <col width="12" customWidth="1" min="2" max="2"/>
    <col width="30" customWidth="1" min="3" max="3"/>
    <col width="48" customWidth="1" min="4" max="4"/>
    <col width="16" customWidth="1" min="5" max="5"/>
    <col width="12" customWidth="1" min="6" max="6"/>
    <col width="18" customWidth="1" min="7" max="7"/>
    <col width="14" customWidth="1" min="8" max="8"/>
    <col width="44" customWidth="1" min="9" max="9"/>
  </cols>
  <sheetData>
    <row r="1">
      <c r="A1" s="6" t="inlineStr">
        <is>
          <t>ID</t>
        </is>
      </c>
      <c r="B1" s="6" t="inlineStr">
        <is>
          <t>Phase</t>
        </is>
      </c>
      <c r="C1" s="6" t="inlineStr">
        <is>
          <t>Workstream</t>
        </is>
      </c>
      <c r="D1" s="6" t="inlineStr">
        <is>
          <t>Task</t>
        </is>
      </c>
      <c r="E1" s="6" t="inlineStr">
        <is>
          <t>Status</t>
        </is>
      </c>
      <c r="F1" s="6" t="inlineStr">
        <is>
          <t>Priority</t>
        </is>
      </c>
      <c r="G1" s="6" t="inlineStr">
        <is>
          <t>Owner</t>
        </is>
      </c>
      <c r="H1" s="6" t="inlineStr">
        <is>
          <t>Target Date</t>
        </is>
      </c>
      <c r="I1" s="6" t="inlineStr">
        <is>
          <t>Notes</t>
        </is>
      </c>
    </row>
    <row r="2">
      <c r="A2" s="12" t="n">
        <v>1</v>
      </c>
      <c r="B2" s="12" t="inlineStr">
        <is>
          <t>Phase 0</t>
        </is>
      </c>
      <c r="C2" s="12" t="inlineStr">
        <is>
          <t>Protect Current Working Setup</t>
        </is>
      </c>
      <c r="D2" s="12" t="inlineStr">
        <is>
          <t>Capture and document the known-good deployment</t>
        </is>
      </c>
      <c r="E2" s="12" t="inlineStr">
        <is>
          <t>Completed</t>
        </is>
      </c>
      <c r="F2" s="12" t="inlineStr">
        <is>
          <t>High</t>
        </is>
      </c>
      <c r="G2" s="12" t="str"/>
      <c r="H2" s="30" t="n"/>
      <c r="I2" s="12" t="inlineStr">
        <is>
          <t>Known-good deployment documented.</t>
        </is>
      </c>
    </row>
    <row r="3">
      <c r="A3" s="12" t="n">
        <v>2</v>
      </c>
      <c r="B3" s="12" t="inlineStr">
        <is>
          <t>Phase 0</t>
        </is>
      </c>
      <c r="C3" s="12" t="inlineStr">
        <is>
          <t>Protect Current Working Setup</t>
        </is>
      </c>
      <c r="D3" s="12" t="inlineStr">
        <is>
          <t>Tag/version known-good deployment state</t>
        </is>
      </c>
      <c r="E3" s="12" t="inlineStr">
        <is>
          <t>In Progress</t>
        </is>
      </c>
      <c r="F3" s="12" t="inlineStr">
        <is>
          <t>Medium</t>
        </is>
      </c>
      <c r="G3" s="12" t="str"/>
      <c r="H3" s="30" t="n"/>
      <c r="I3" s="12" t="inlineStr">
        <is>
          <t>Keep an explicit rollback reference/tag.</t>
        </is>
      </c>
    </row>
    <row r="4">
      <c r="A4" s="12" t="n">
        <v>3</v>
      </c>
      <c r="B4" s="12" t="inlineStr">
        <is>
          <t>Phase 0</t>
        </is>
      </c>
      <c r="C4" s="12" t="inlineStr">
        <is>
          <t>Protect Current Working Setup</t>
        </is>
      </c>
      <c r="D4" s="12" t="inlineStr">
        <is>
          <t>Back up/reference Agent Engine, Agent Identity, Agent Gateway and MCP configurations</t>
        </is>
      </c>
      <c r="E4" s="12" t="inlineStr">
        <is>
          <t>Completed</t>
        </is>
      </c>
      <c r="F4" s="12" t="inlineStr">
        <is>
          <t>High</t>
        </is>
      </c>
      <c r="G4" s="12" t="str"/>
      <c r="H4" s="30" t="n"/>
      <c r="I4" s="12" t="inlineStr">
        <is>
          <t>Configuration and architecture references exist.</t>
        </is>
      </c>
    </row>
    <row r="5">
      <c r="A5" s="12" t="n">
        <v>4</v>
      </c>
      <c r="B5" s="12" t="inlineStr">
        <is>
          <t>Phase 0</t>
        </is>
      </c>
      <c r="C5" s="12" t="inlineStr">
        <is>
          <t>Protect Current Working Setup</t>
        </is>
      </c>
      <c r="D5" s="12" t="inlineStr">
        <is>
          <t>Capture successful end-to-end investigation with logs and traces</t>
        </is>
      </c>
      <c r="E5" s="12" t="inlineStr">
        <is>
          <t>In Progress</t>
        </is>
      </c>
      <c r="F5" s="12" t="inlineStr">
        <is>
          <t>High</t>
        </is>
      </c>
      <c r="G5" s="12" t="str"/>
      <c r="H5" s="30" t="n"/>
      <c r="I5" s="12" t="inlineStr">
        <is>
          <t>Corrected 2026-08-13: was marked Completed, but reliable full-path trace evidence does not currently exist. A real deployed investigation (run_20260813_045745_ainm) produced no exported Cloud Trace span at all; this project's entire Cloud Trace history has only 2 old traces (2026-08-09), one span each. Structured logs + GCS evidence capture ARE working (verified repeatedly this session), but "logs and traces" together, as this task states, is not yet true. Tracked by GitHub #130 / tracker ID 62.</t>
        </is>
      </c>
    </row>
    <row r="6">
      <c r="A6" s="12" t="n">
        <v>5</v>
      </c>
      <c r="B6" s="12" t="inlineStr">
        <is>
          <t>Phase 0</t>
        </is>
      </c>
      <c r="C6" s="12" t="inlineStr">
        <is>
          <t>Protect Current Working Setup</t>
        </is>
      </c>
      <c r="D6" s="12" t="inlineStr">
        <is>
          <t>Document rollback and recovery steps</t>
        </is>
      </c>
      <c r="E6" s="12" t="inlineStr">
        <is>
          <t>In Progress</t>
        </is>
      </c>
      <c r="F6" s="12" t="inlineStr">
        <is>
          <t>High</t>
        </is>
      </c>
      <c r="G6" s="12" t="str"/>
      <c r="H6" s="30" t="n"/>
      <c r="I6" s="12" t="inlineStr">
        <is>
          <t>Needs final validation.</t>
        </is>
      </c>
    </row>
    <row r="7">
      <c r="A7" s="12" t="n">
        <v>6</v>
      </c>
      <c r="B7" s="12" t="inlineStr">
        <is>
          <t>Phase 0</t>
        </is>
      </c>
      <c r="C7" s="12" t="inlineStr">
        <is>
          <t>Protect Current Working Setup</t>
        </is>
      </c>
      <c r="D7" s="12" t="inlineStr">
        <is>
          <t>Perform rollback test</t>
        </is>
      </c>
      <c r="E7" s="12" t="inlineStr">
        <is>
          <t>Not Started</t>
        </is>
      </c>
      <c r="F7" s="12" t="inlineStr">
        <is>
          <t>High</t>
        </is>
      </c>
      <c r="G7" s="12" t="str"/>
      <c r="H7" s="30" t="n"/>
      <c r="I7" s="12" t="inlineStr">
        <is>
          <t>Required before production approval.</t>
        </is>
      </c>
    </row>
    <row r="8">
      <c r="A8" s="12" t="n">
        <v>7</v>
      </c>
      <c r="B8" s="12" t="inlineStr">
        <is>
          <t>Phase 0</t>
        </is>
      </c>
      <c r="C8" s="12" t="inlineStr">
        <is>
          <t>Protect Current Working Setup</t>
        </is>
      </c>
      <c r="D8" s="12" t="inlineStr">
        <is>
          <t>Perform disaster-recovery drill</t>
        </is>
      </c>
      <c r="E8" s="12" t="inlineStr">
        <is>
          <t>Not Started</t>
        </is>
      </c>
      <c r="F8" s="12" t="inlineStr">
        <is>
          <t>Medium</t>
        </is>
      </c>
      <c r="G8" s="12" t="str"/>
      <c r="H8" s="30" t="n"/>
      <c r="I8" s="12" t="inlineStr">
        <is>
          <t>Production readiness validation.</t>
        </is>
      </c>
    </row>
    <row r="9">
      <c r="A9" s="12" t="n">
        <v>8</v>
      </c>
      <c r="B9" s="12" t="inlineStr">
        <is>
          <t>Phase 1</t>
        </is>
      </c>
      <c r="C9" s="12" t="inlineStr">
        <is>
          <t>Production Readiness</t>
        </is>
      </c>
      <c r="D9" s="12" t="inlineStr">
        <is>
          <t>Consolidate production roadmap</t>
        </is>
      </c>
      <c r="E9" s="12" t="inlineStr">
        <is>
          <t>In Progress</t>
        </is>
      </c>
      <c r="F9" s="12" t="inlineStr">
        <is>
          <t>High</t>
        </is>
      </c>
      <c r="G9" s="12" t="str"/>
      <c r="H9" s="30" t="n"/>
      <c r="I9" s="12" t="inlineStr">
        <is>
          <t>Use this tracker as the consolidated source of truth.</t>
        </is>
      </c>
    </row>
    <row r="10">
      <c r="A10" s="12" t="n">
        <v>9</v>
      </c>
      <c r="B10" s="12" t="inlineStr">
        <is>
          <t>Phase 1</t>
        </is>
      </c>
      <c r="C10" s="12" t="inlineStr">
        <is>
          <t>Production Readiness</t>
        </is>
      </c>
      <c r="D10" s="12" t="inlineStr">
        <is>
          <t>Complete Production Readiness Review</t>
        </is>
      </c>
      <c r="E10" s="12" t="inlineStr">
        <is>
          <t>In Progress</t>
        </is>
      </c>
      <c r="F10" s="12" t="inlineStr">
        <is>
          <t>Critical</t>
        </is>
      </c>
      <c r="G10" s="12" t="str"/>
      <c r="H10" s="30" t="n"/>
      <c r="I10" s="12" t="inlineStr">
        <is>
          <t>Multiple launch gaps remain.</t>
        </is>
      </c>
    </row>
    <row r="11">
      <c r="A11" s="12" t="n">
        <v>10</v>
      </c>
      <c r="B11" s="12" t="inlineStr">
        <is>
          <t>Phase 1</t>
        </is>
      </c>
      <c r="C11" s="12" t="inlineStr">
        <is>
          <t>Production Readiness</t>
        </is>
      </c>
      <c r="D11" s="12" t="inlineStr">
        <is>
          <t>Map architecture, data flow and trust boundaries</t>
        </is>
      </c>
      <c r="E11" s="12" t="inlineStr">
        <is>
          <t>In Progress</t>
        </is>
      </c>
      <c r="F11" s="12" t="inlineStr">
        <is>
          <t>High</t>
        </is>
      </c>
      <c r="G11" s="12" t="str"/>
      <c r="H11" s="30" t="n"/>
      <c r="I11" s="12" t="inlineStr">
        <is>
          <t>Architecture exists; trust-boundary validation remains.</t>
        </is>
      </c>
    </row>
    <row r="12">
      <c r="A12" s="12" t="n">
        <v>11</v>
      </c>
      <c r="B12" s="12" t="inlineStr">
        <is>
          <t>Phase 1</t>
        </is>
      </c>
      <c r="C12" s="12" t="inlineStr">
        <is>
          <t>Production Readiness</t>
        </is>
      </c>
      <c r="D12" s="12" t="inlineStr">
        <is>
          <t>Validate Agent Gateway architecture</t>
        </is>
      </c>
      <c r="E12" s="12" t="inlineStr">
        <is>
          <t>In Progress</t>
        </is>
      </c>
      <c r="F12" s="12" t="inlineStr">
        <is>
          <t>High</t>
        </is>
      </c>
      <c r="G12" s="12" t="str"/>
      <c r="H12" s="30" t="n"/>
      <c r="I12" s="12" t="inlineStr">
        <is>
          <t>Gateway works; final production validation remains.</t>
        </is>
      </c>
    </row>
    <row r="13">
      <c r="A13" s="12" t="n">
        <v>12</v>
      </c>
      <c r="B13" s="12" t="inlineStr">
        <is>
          <t>Phase 1</t>
        </is>
      </c>
      <c r="C13" s="12" t="inlineStr">
        <is>
          <t>Production Readiness</t>
        </is>
      </c>
      <c r="D13" s="12" t="inlineStr">
        <is>
          <t>Validate Agent Identity architecture</t>
        </is>
      </c>
      <c r="E13" s="12" t="inlineStr">
        <is>
          <t>Completed</t>
        </is>
      </c>
      <c r="F13" s="12" t="inlineStr">
        <is>
          <t>High</t>
        </is>
      </c>
      <c r="G13" s="12" t="str"/>
      <c r="H13" s="30" t="n"/>
      <c r="I13" s="12" t="inlineStr">
        <is>
          <t>Implemented.</t>
        </is>
      </c>
    </row>
    <row r="14">
      <c r="A14" s="12" t="n">
        <v>13</v>
      </c>
      <c r="B14" s="12" t="inlineStr">
        <is>
          <t>Phase 1</t>
        </is>
      </c>
      <c r="C14" s="12" t="inlineStr">
        <is>
          <t>Production Readiness</t>
        </is>
      </c>
      <c r="D14" s="12" t="inlineStr">
        <is>
          <t>Validate IAM and identities</t>
        </is>
      </c>
      <c r="E14" s="12" t="inlineStr">
        <is>
          <t>In Progress</t>
        </is>
      </c>
      <c r="F14" s="12" t="inlineStr">
        <is>
          <t>Critical</t>
        </is>
      </c>
      <c r="G14" s="12" t="str"/>
      <c r="H14" s="30" t="n"/>
      <c r="I14" s="12" t="inlineStr">
        <is>
          <t>Cross-project and least-privilege review remains.</t>
        </is>
      </c>
    </row>
    <row r="15">
      <c r="A15" s="12" t="n">
        <v>14</v>
      </c>
      <c r="B15" s="12" t="inlineStr">
        <is>
          <t>Phase 1</t>
        </is>
      </c>
      <c r="C15" s="12" t="inlineStr">
        <is>
          <t>Production Readiness</t>
        </is>
      </c>
      <c r="D15" s="12" t="inlineStr">
        <is>
          <t>Confirm Kubernetes access is read-only</t>
        </is>
      </c>
      <c r="E15" s="12" t="inlineStr">
        <is>
          <t>Completed</t>
        </is>
      </c>
      <c r="F15" s="12" t="inlineStr">
        <is>
          <t>Critical</t>
        </is>
      </c>
      <c r="G15" s="12" t="str"/>
      <c r="H15" s="30" t="n"/>
      <c r="I15" s="12" t="inlineStr">
        <is>
          <t>Read-only controls implemented.</t>
        </is>
      </c>
    </row>
    <row r="16">
      <c r="A16" s="12" t="n">
        <v>15</v>
      </c>
      <c r="B16" s="12" t="inlineStr">
        <is>
          <t>Phase 1</t>
        </is>
      </c>
      <c r="C16" s="12" t="inlineStr">
        <is>
          <t>Production Readiness</t>
        </is>
      </c>
      <c r="D16" s="12" t="inlineStr">
        <is>
          <t>Review secrets and sensitive-data handling</t>
        </is>
      </c>
      <c r="E16" s="12" t="inlineStr">
        <is>
          <t>In Progress</t>
        </is>
      </c>
      <c r="F16" s="12" t="inlineStr">
        <is>
          <t>High</t>
        </is>
      </c>
      <c r="G16" s="12" t="str"/>
      <c r="H16" s="30" t="n"/>
      <c r="I16" s="12" t="inlineStr">
        <is>
          <t>Final security review required.</t>
        </is>
      </c>
    </row>
    <row r="17">
      <c r="A17" s="12" t="n">
        <v>16</v>
      </c>
      <c r="B17" s="12" t="inlineStr">
        <is>
          <t>Phase 1</t>
        </is>
      </c>
      <c r="C17" s="12" t="inlineStr">
        <is>
          <t>Production Readiness</t>
        </is>
      </c>
      <c r="D17" s="12" t="inlineStr">
        <is>
          <t>Validate evidence storage</t>
        </is>
      </c>
      <c r="E17" s="12" t="inlineStr">
        <is>
          <t>In Progress</t>
        </is>
      </c>
      <c r="F17" s="12" t="inlineStr">
        <is>
          <t>High</t>
        </is>
      </c>
      <c r="G17" s="12" t="str"/>
      <c r="H17" s="30" t="n"/>
      <c r="I17" s="12" t="inlineStr">
        <is>
          <t>Auditable persistence needs final validation.</t>
        </is>
      </c>
    </row>
    <row r="18">
      <c r="A18" s="12" t="n">
        <v>17</v>
      </c>
      <c r="B18" s="12" t="inlineStr">
        <is>
          <t>Phase 1</t>
        </is>
      </c>
      <c r="C18" s="12" t="inlineStr">
        <is>
          <t>Production Readiness</t>
        </is>
      </c>
      <c r="D18" s="12" t="inlineStr">
        <is>
          <t>Final production-readiness approval</t>
        </is>
      </c>
      <c r="E18" s="12" t="inlineStr">
        <is>
          <t>Not Started</t>
        </is>
      </c>
      <c r="F18" s="12" t="inlineStr">
        <is>
          <t>Critical</t>
        </is>
      </c>
      <c r="G18" s="12" t="str"/>
      <c r="H18" s="30" t="n"/>
      <c r="I18" s="12" t="inlineStr">
        <is>
          <t>Gated on launch blockers.</t>
        </is>
      </c>
    </row>
    <row r="19">
      <c r="A19" s="12" t="n">
        <v>18</v>
      </c>
      <c r="B19" s="12" t="inlineStr">
        <is>
          <t>Phase 2</t>
        </is>
      </c>
      <c r="C19" s="12" t="inlineStr">
        <is>
          <t>Agent Gateway &amp; Model Armor</t>
        </is>
      </c>
      <c r="D19" s="12" t="inlineStr">
        <is>
          <t>Document Agent Gateway certificate issue and confirmed fix</t>
        </is>
      </c>
      <c r="E19" s="12" t="inlineStr">
        <is>
          <t>Completed</t>
        </is>
      </c>
      <c r="F19" s="12" t="inlineStr">
        <is>
          <t>Medium</t>
        </is>
      </c>
      <c r="G19" s="12" t="str"/>
      <c r="H19" s="30" t="n"/>
      <c r="I19" s="12" t="inlineStr">
        <is>
          <t>Earlier issue no longer blocks Terraform-managed path.</t>
        </is>
      </c>
    </row>
    <row r="20">
      <c r="A20" s="12" t="n">
        <v>19</v>
      </c>
      <c r="B20" s="12" t="inlineStr">
        <is>
          <t>Phase 2</t>
        </is>
      </c>
      <c r="C20" s="12" t="inlineStr">
        <is>
          <t>Agent Gateway &amp; Model Armor</t>
        </is>
      </c>
      <c r="D20" s="12" t="inlineStr">
        <is>
          <t>Confirm current Agent Gateway configuration</t>
        </is>
      </c>
      <c r="E20" s="12" t="inlineStr">
        <is>
          <t>Completed</t>
        </is>
      </c>
      <c r="F20" s="12" t="inlineStr">
        <is>
          <t>High</t>
        </is>
      </c>
      <c r="G20" s="12" t="str"/>
      <c r="H20" s="30" t="n"/>
      <c r="I20" s="12" t="inlineStr">
        <is>
          <t>Gateway deployed and working.</t>
        </is>
      </c>
    </row>
    <row r="21">
      <c r="A21" s="12" t="n">
        <v>20</v>
      </c>
      <c r="B21" s="12" t="inlineStr">
        <is>
          <t>Phase 2</t>
        </is>
      </c>
      <c r="C21" s="12" t="inlineStr">
        <is>
          <t>Agent Gateway &amp; Model Armor</t>
        </is>
      </c>
      <c r="D21" s="12" t="inlineStr">
        <is>
          <t>Final Agent Gateway production validation</t>
        </is>
      </c>
      <c r="E21" s="12" t="inlineStr">
        <is>
          <t>In Progress</t>
        </is>
      </c>
      <c r="F21" s="12" t="inlineStr">
        <is>
          <t>High</t>
        </is>
      </c>
      <c r="G21" s="12" t="str"/>
      <c r="H21" s="30" t="n"/>
      <c r="I21" s="12" t="inlineStr">
        <is>
          <t>Validate complete traffic/security behavior.</t>
        </is>
      </c>
    </row>
    <row r="22">
      <c r="A22" s="12" t="n">
        <v>21</v>
      </c>
      <c r="B22" s="12" t="inlineStr">
        <is>
          <t>Phase 2</t>
        </is>
      </c>
      <c r="C22" s="12" t="inlineStr">
        <is>
          <t>Agent Gateway &amp; Model Armor</t>
        </is>
      </c>
      <c r="D22" s="12" t="inlineStr">
        <is>
          <t>Confirm current Model Armor configuration</t>
        </is>
      </c>
      <c r="E22" s="12" t="inlineStr">
        <is>
          <t>In Progress</t>
        </is>
      </c>
      <c r="F22" s="12" t="inlineStr">
        <is>
          <t>High</t>
        </is>
      </c>
      <c r="G22" s="12" t="str"/>
      <c r="H22" s="30" t="n"/>
      <c r="I22" s="12" t="inlineStr">
        <is>
          <t>Templates exist; live content inspection not active.</t>
        </is>
      </c>
    </row>
    <row r="23">
      <c r="A23" s="12" t="n">
        <v>22</v>
      </c>
      <c r="B23" s="12" t="inlineStr">
        <is>
          <t>Phase 2</t>
        </is>
      </c>
      <c r="C23" s="12" t="inlineStr">
        <is>
          <t>Agent Gateway &amp; Model Armor</t>
        </is>
      </c>
      <c r="D23" s="12" t="inlineStr">
        <is>
          <t>Retest Model Armor in clean environment</t>
        </is>
      </c>
      <c r="E23" s="12" t="inlineStr">
        <is>
          <t>In Progress</t>
        </is>
      </c>
      <c r="F23" s="12" t="inlineStr">
        <is>
          <t>High</t>
        </is>
      </c>
      <c r="G23" s="12" t="str"/>
      <c r="H23" s="30" t="n"/>
      <c r="I23" s="12" t="inlineStr">
        <is>
          <t>Controlled validation pending.</t>
        </is>
      </c>
    </row>
    <row r="24">
      <c r="A24" s="12" t="n">
        <v>23</v>
      </c>
      <c r="B24" s="12" t="inlineStr">
        <is>
          <t>Phase 2</t>
        </is>
      </c>
      <c r="C24" s="12" t="inlineStr">
        <is>
          <t>Agent Gateway &amp; Model Armor</t>
        </is>
      </c>
      <c r="D24" s="12" t="inlineStr">
        <is>
          <t>Test Model Armor with Agent Identity, IAP and Agent Gateway</t>
        </is>
      </c>
      <c r="E24" s="12" t="inlineStr">
        <is>
          <t>Not Started</t>
        </is>
      </c>
      <c r="F24" s="12" t="inlineStr">
        <is>
          <t>High</t>
        </is>
      </c>
      <c r="G24" s="12" t="str"/>
      <c r="H24" s="30" t="n"/>
      <c r="I24" s="12" t="inlineStr">
        <is>
          <t>Use supported regional integration.</t>
        </is>
      </c>
    </row>
    <row r="25">
      <c r="A25" s="12" t="n">
        <v>24</v>
      </c>
      <c r="B25" s="12" t="inlineStr">
        <is>
          <t>Phase 2</t>
        </is>
      </c>
      <c r="C25" s="12" t="inlineStr">
        <is>
          <t>Agent Gateway &amp; Model Armor</t>
        </is>
      </c>
      <c r="D25" s="12" t="inlineStr">
        <is>
          <t>Define separate Model Armor policies for input/evidence/output</t>
        </is>
      </c>
      <c r="E25" s="12" t="inlineStr">
        <is>
          <t>Not Started</t>
        </is>
      </c>
      <c r="F25" s="12" t="inlineStr">
        <is>
          <t>Medium</t>
        </is>
      </c>
      <c r="G25" s="12" t="str"/>
      <c r="H25" s="30" t="n"/>
      <c r="I25" s="12" t="inlineStr">
        <is>
          <t>Pending architecture validation.</t>
        </is>
      </c>
    </row>
    <row r="26">
      <c r="A26" s="12" t="n">
        <v>25</v>
      </c>
      <c r="B26" s="12" t="inlineStr">
        <is>
          <t>Phase 2</t>
        </is>
      </c>
      <c r="C26" s="12" t="inlineStr">
        <is>
          <t>Agent Gateway &amp; Model Armor</t>
        </is>
      </c>
      <c r="D26" s="12" t="inlineStr">
        <is>
          <t>Test Kubernetes logs/events for false positives</t>
        </is>
      </c>
      <c r="E26" s="12" t="inlineStr">
        <is>
          <t>Not Started</t>
        </is>
      </c>
      <c r="F26" s="12" t="inlineStr">
        <is>
          <t>Medium</t>
        </is>
      </c>
      <c r="G26" s="12" t="str"/>
      <c r="H26" s="30" t="n"/>
      <c r="I26" s="12" t="inlineStr">
        <is>
          <t>Needed before enforcement.</t>
        </is>
      </c>
    </row>
    <row r="27">
      <c r="A27" s="12" t="n">
        <v>26</v>
      </c>
      <c r="B27" s="12" t="inlineStr">
        <is>
          <t>Phase 2</t>
        </is>
      </c>
      <c r="C27" s="12" t="inlineStr">
        <is>
          <t>Agent Gateway &amp; Model Armor</t>
        </is>
      </c>
      <c r="D27" s="12" t="inlineStr">
        <is>
          <t>Confirm Model Armor failure/fallback behaviour</t>
        </is>
      </c>
      <c r="E27" s="12" t="inlineStr">
        <is>
          <t>Not Started</t>
        </is>
      </c>
      <c r="F27" s="12" t="inlineStr">
        <is>
          <t>High</t>
        </is>
      </c>
      <c r="G27" s="12" t="str"/>
      <c r="H27" s="30" t="n"/>
      <c r="I27" s="12" t="inlineStr">
        <is>
          <t>Needs explicit failure-mode test.</t>
        </is>
      </c>
    </row>
    <row r="28">
      <c r="A28" s="12" t="n">
        <v>27</v>
      </c>
      <c r="B28" s="12" t="inlineStr">
        <is>
          <t>Phase 3</t>
        </is>
      </c>
      <c r="C28" s="12" t="inlineStr">
        <is>
          <t>RCA Output &amp; Evidence</t>
        </is>
      </c>
      <c r="D28" s="12" t="inlineStr">
        <is>
          <t>Evidence-backed RCA</t>
        </is>
      </c>
      <c r="E28" s="12" t="inlineStr">
        <is>
          <t>Completed</t>
        </is>
      </c>
      <c r="F28" s="12" t="inlineStr">
        <is>
          <t>Critical</t>
        </is>
      </c>
      <c r="G28" s="12" t="str"/>
      <c r="H28" s="30" t="n"/>
      <c r="I28" s="12" t="inlineStr">
        <is>
          <t>Implemented.</t>
        </is>
      </c>
    </row>
    <row r="29">
      <c r="A29" s="12" t="n">
        <v>28</v>
      </c>
      <c r="B29" s="12" t="inlineStr">
        <is>
          <t>Phase 3</t>
        </is>
      </c>
      <c r="C29" s="12" t="inlineStr">
        <is>
          <t>RCA Output &amp; Evidence</t>
        </is>
      </c>
      <c r="D29" s="12" t="inlineStr">
        <is>
          <t>Evidence IDs on important RCA claims</t>
        </is>
      </c>
      <c r="E29" s="12" t="inlineStr">
        <is>
          <t>Completed</t>
        </is>
      </c>
      <c r="F29" s="12" t="inlineStr">
        <is>
          <t>Critical</t>
        </is>
      </c>
      <c r="G29" s="12" t="str"/>
      <c r="H29" s="30" t="n"/>
      <c r="I29" s="12" t="inlineStr">
        <is>
          <t>Implemented.</t>
        </is>
      </c>
    </row>
    <row r="30">
      <c r="A30" s="12" t="n">
        <v>29</v>
      </c>
      <c r="B30" s="12" t="inlineStr">
        <is>
          <t>Phase 3</t>
        </is>
      </c>
      <c r="C30" s="12" t="inlineStr">
        <is>
          <t>RCA Output &amp; Evidence</t>
        </is>
      </c>
      <c r="D30" s="12" t="inlineStr">
        <is>
          <t>Prevent unsupported conclusions from being confirmed</t>
        </is>
      </c>
      <c r="E30" s="12" t="inlineStr">
        <is>
          <t>Completed</t>
        </is>
      </c>
      <c r="F30" s="12" t="inlineStr">
        <is>
          <t>Critical</t>
        </is>
      </c>
      <c r="G30" s="12" t="str"/>
      <c r="H30" s="30" t="n"/>
      <c r="I30" s="12" t="inlineStr">
        <is>
          <t>Insufficient-evidence path exists.</t>
        </is>
      </c>
    </row>
    <row r="31">
      <c r="A31" s="12" t="n">
        <v>30</v>
      </c>
      <c r="B31" s="12" t="inlineStr">
        <is>
          <t>Phase 3</t>
        </is>
      </c>
      <c r="C31" s="12" t="inlineStr">
        <is>
          <t>RCA Output &amp; Evidence</t>
        </is>
      </c>
      <c r="D31" s="12" t="inlineStr">
        <is>
          <t>Executive-first RCA output redesign</t>
        </is>
      </c>
      <c r="E31" s="12" t="inlineStr">
        <is>
          <t>In Progress</t>
        </is>
      </c>
      <c r="F31" s="12" t="inlineStr">
        <is>
          <t>Medium</t>
        </is>
      </c>
      <c r="G31" s="12" t="str"/>
      <c r="H31" s="30" t="n"/>
      <c r="I31" s="12" t="inlineStr">
        <is>
          <t>Hardening/simplification remains.</t>
        </is>
      </c>
    </row>
    <row r="32">
      <c r="A32" s="12" t="n">
        <v>31</v>
      </c>
      <c r="B32" s="12" t="inlineStr">
        <is>
          <t>Phase 3</t>
        </is>
      </c>
      <c r="C32" s="12" t="inlineStr">
        <is>
          <t>RCA Output &amp; Evidence</t>
        </is>
      </c>
      <c r="D32" s="12" t="inlineStr">
        <is>
          <t>Remove duplicated/weak root-cause claims</t>
        </is>
      </c>
      <c r="E32" s="12" t="inlineStr">
        <is>
          <t>In Progress</t>
        </is>
      </c>
      <c r="F32" s="12" t="inlineStr">
        <is>
          <t>High</t>
        </is>
      </c>
      <c r="G32" s="12" t="str"/>
      <c r="H32" s="30" t="n"/>
      <c r="I32" s="12" t="inlineStr">
        <is>
          <t>Grounding-quality fixes remain.</t>
        </is>
      </c>
    </row>
    <row r="33">
      <c r="A33" s="12" t="n">
        <v>32</v>
      </c>
      <c r="B33" s="12" t="inlineStr">
        <is>
          <t>Phase 3</t>
        </is>
      </c>
      <c r="C33" s="12" t="inlineStr">
        <is>
          <t>RCA Output &amp; Evidence</t>
        </is>
      </c>
      <c r="D33" s="12" t="inlineStr">
        <is>
          <t>Supporting, contradicting and missing evidence</t>
        </is>
      </c>
      <c r="E33" s="12" t="inlineStr">
        <is>
          <t>In Progress</t>
        </is>
      </c>
      <c r="F33" s="12" t="inlineStr">
        <is>
          <t>High</t>
        </is>
      </c>
      <c r="G33" s="12" t="str"/>
      <c r="H33" s="30" t="n"/>
      <c r="I33" s="12" t="inlineStr">
        <is>
          <t>Needs stronger deterministic handling.</t>
        </is>
      </c>
    </row>
    <row r="34">
      <c r="A34" s="12" t="n">
        <v>33</v>
      </c>
      <c r="B34" s="12" t="inlineStr">
        <is>
          <t>Phase 3</t>
        </is>
      </c>
      <c r="C34" s="12" t="inlineStr">
        <is>
          <t>RCA Output &amp; Evidence</t>
        </is>
      </c>
      <c r="D34" s="12" t="inlineStr">
        <is>
          <t>Affected-resource and incident-time information</t>
        </is>
      </c>
      <c r="E34" s="12" t="inlineStr">
        <is>
          <t>In Progress</t>
        </is>
      </c>
      <c r="F34" s="12" t="inlineStr">
        <is>
          <t>Medium</t>
        </is>
      </c>
      <c r="G34" s="12" t="str"/>
      <c r="H34" s="30" t="n"/>
      <c r="I34" s="12" t="inlineStr">
        <is>
          <t>Time/resource validation needs improvement.</t>
        </is>
      </c>
    </row>
    <row r="35">
      <c r="A35" s="12" t="n">
        <v>34</v>
      </c>
      <c r="B35" s="12" t="inlineStr">
        <is>
          <t>Phase 3</t>
        </is>
      </c>
      <c r="C35" s="12" t="inlineStr">
        <is>
          <t>RCA Output &amp; Evidence</t>
        </is>
      </c>
      <c r="D35" s="12" t="inlineStr">
        <is>
          <t>Alternatives considered</t>
        </is>
      </c>
      <c r="E35" s="12" t="inlineStr">
        <is>
          <t>In Progress</t>
        </is>
      </c>
      <c r="F35" s="12" t="inlineStr">
        <is>
          <t>Medium</t>
        </is>
      </c>
      <c r="G35" s="12" t="str"/>
      <c r="H35" s="30" t="n"/>
      <c r="I35" s="12" t="inlineStr">
        <is>
          <t>Dynamic alternative-cause handling incomplete.</t>
        </is>
      </c>
    </row>
    <row r="36">
      <c r="A36" s="12" t="n">
        <v>35</v>
      </c>
      <c r="B36" s="12" t="inlineStr">
        <is>
          <t>Phase 3</t>
        </is>
      </c>
      <c r="C36" s="12" t="inlineStr">
        <is>
          <t>RCA Output &amp; Evidence</t>
        </is>
      </c>
      <c r="D36" s="12" t="inlineStr">
        <is>
          <t>Service/user-impact detection</t>
        </is>
      </c>
      <c r="E36" s="12" t="inlineStr">
        <is>
          <t>Blocked</t>
        </is>
      </c>
      <c r="F36" s="12" t="inlineStr">
        <is>
          <t>Critical</t>
        </is>
      </c>
      <c r="G36" s="12" t="str"/>
      <c r="H36" s="30" t="n"/>
      <c r="I36" s="12" t="inlineStr">
        <is>
          <t>Impact is not reliably derived yet.</t>
        </is>
      </c>
    </row>
    <row r="37">
      <c r="A37" s="12" t="n">
        <v>36</v>
      </c>
      <c r="B37" s="12" t="inlineStr">
        <is>
          <t>Phase 3</t>
        </is>
      </c>
      <c r="C37" s="12" t="inlineStr">
        <is>
          <t>RCA Output &amp; Evidence</t>
        </is>
      </c>
      <c r="D37" s="12" t="inlineStr">
        <is>
          <t>Human-approved remediation only</t>
        </is>
      </c>
      <c r="E37" s="12" t="inlineStr">
        <is>
          <t>Completed</t>
        </is>
      </c>
      <c r="F37" s="12" t="inlineStr">
        <is>
          <t>Critical</t>
        </is>
      </c>
      <c r="G37" s="12" t="str"/>
      <c r="H37" s="30" t="n"/>
      <c r="I37" s="12" t="inlineStr">
        <is>
          <t>Core design rule.</t>
        </is>
      </c>
    </row>
    <row r="38">
      <c r="A38" s="12" t="n">
        <v>37</v>
      </c>
      <c r="B38" s="12" t="inlineStr">
        <is>
          <t>Phase 4</t>
        </is>
      </c>
      <c r="C38" s="12" t="inlineStr">
        <is>
          <t>Dynamic Investigation &amp; Confidence</t>
        </is>
      </c>
      <c r="D38" s="12" t="inlineStr">
        <is>
          <t>Separate Investigation Completeness and Root Cause Confidence</t>
        </is>
      </c>
      <c r="E38" s="12" t="inlineStr">
        <is>
          <t>Completed</t>
        </is>
      </c>
      <c r="F38" s="12" t="inlineStr">
        <is>
          <t>Critical</t>
        </is>
      </c>
      <c r="G38" s="12" t="str"/>
      <c r="H38" s="30" t="n"/>
      <c r="I38" s="12" t="inlineStr">
        <is>
          <t>Two-score model implemented.</t>
        </is>
      </c>
    </row>
    <row r="39">
      <c r="A39" s="12" t="n">
        <v>38</v>
      </c>
      <c r="B39" s="12" t="inlineStr">
        <is>
          <t>Phase 4</t>
        </is>
      </c>
      <c r="C39" s="12" t="inlineStr">
        <is>
          <t>Dynamic Investigation &amp; Confidence</t>
        </is>
      </c>
      <c r="D39" s="12" t="inlineStr">
        <is>
          <t>Deterministic application-side confidence scoring</t>
        </is>
      </c>
      <c r="E39" s="12" t="inlineStr">
        <is>
          <t>Completed</t>
        </is>
      </c>
      <c r="F39" s="12" t="inlineStr">
        <is>
          <t>Critical</t>
        </is>
      </c>
      <c r="G39" s="12" t="str"/>
      <c r="H39" s="30" t="n"/>
      <c r="I39" s="12" t="inlineStr">
        <is>
          <t>Implemented and tested.</t>
        </is>
      </c>
    </row>
    <row r="40">
      <c r="A40" s="12" t="n">
        <v>39</v>
      </c>
      <c r="B40" s="12" t="inlineStr">
        <is>
          <t>Phase 4</t>
        </is>
      </c>
      <c r="C40" s="12" t="inlineStr">
        <is>
          <t>Dynamic Investigation &amp; Confidence</t>
        </is>
      </c>
      <c r="D40" s="12" t="inlineStr">
        <is>
          <t>Contradiction handling</t>
        </is>
      </c>
      <c r="E40" s="12" t="inlineStr">
        <is>
          <t>In Progress</t>
        </is>
      </c>
      <c r="F40" s="12" t="inlineStr">
        <is>
          <t>High</t>
        </is>
      </c>
      <c r="G40" s="12" t="str"/>
      <c r="H40" s="30" t="n"/>
      <c r="I40" s="12" t="inlineStr">
        <is>
          <t>Needs production hardening.</t>
        </is>
      </c>
    </row>
    <row r="41">
      <c r="A41" s="12" t="n">
        <v>40</v>
      </c>
      <c r="B41" s="12" t="inlineStr">
        <is>
          <t>Phase 4</t>
        </is>
      </c>
      <c r="C41" s="12" t="inlineStr">
        <is>
          <t>Dynamic Investigation &amp; Confidence</t>
        </is>
      </c>
      <c r="D41" s="12" t="inlineStr">
        <is>
          <t>Missing/failed/stale evidence penalties and caps</t>
        </is>
      </c>
      <c r="E41" s="12" t="inlineStr">
        <is>
          <t>In Progress</t>
        </is>
      </c>
      <c r="F41" s="12" t="inlineStr">
        <is>
          <t>High</t>
        </is>
      </c>
      <c r="G41" s="12" t="str"/>
      <c r="H41" s="30" t="n"/>
      <c r="I41" s="12" t="inlineStr">
        <is>
          <t>Coverage bug remains in some failed-tool cases.</t>
        </is>
      </c>
    </row>
    <row r="42">
      <c r="A42" s="12" t="n">
        <v>41</v>
      </c>
      <c r="B42" s="12" t="inlineStr">
        <is>
          <t>Phase 4</t>
        </is>
      </c>
      <c r="C42" s="12" t="inlineStr">
        <is>
          <t>Dynamic Investigation &amp; Confidence</t>
        </is>
      </c>
      <c r="D42" s="12" t="inlineStr">
        <is>
          <t>Confidence calibration testing</t>
        </is>
      </c>
      <c r="E42" s="12" t="inlineStr">
        <is>
          <t>Not Started</t>
        </is>
      </c>
      <c r="F42" s="12" t="inlineStr">
        <is>
          <t>Medium</t>
        </is>
      </c>
      <c r="G42" s="12" t="str"/>
      <c r="H42" s="30" t="n"/>
      <c r="I42" s="12" t="inlineStr">
        <is>
          <t>Compare confidence with actual RCA accuracy.</t>
        </is>
      </c>
    </row>
    <row r="43">
      <c r="A43" s="12" t="n">
        <v>42</v>
      </c>
      <c r="B43" s="12" t="inlineStr">
        <is>
          <t>Phase 4</t>
        </is>
      </c>
      <c r="C43" s="12" t="inlineStr">
        <is>
          <t>Dynamic Investigation &amp; Confidence</t>
        </is>
      </c>
      <c r="D43" s="12" t="inlineStr">
        <is>
          <t>Dynamic investigation loop</t>
        </is>
      </c>
      <c r="E43" s="12" t="inlineStr">
        <is>
          <t>In Progress</t>
        </is>
      </c>
      <c r="F43" s="12" t="inlineStr">
        <is>
          <t>Critical</t>
        </is>
      </c>
      <c r="G43" s="12" t="str"/>
      <c r="H43" s="30" t="n"/>
      <c r="I43" s="12" t="inlineStr">
        <is>
          <t>Loop exists; correctness gaps remain.</t>
        </is>
      </c>
    </row>
    <row r="44">
      <c r="A44" s="12" t="n">
        <v>43</v>
      </c>
      <c r="B44" s="12" t="inlineStr">
        <is>
          <t>Phase 4</t>
        </is>
      </c>
      <c r="C44" s="12" t="inlineStr">
        <is>
          <t>Dynamic Investigation &amp; Confidence</t>
        </is>
      </c>
      <c r="D44" s="12" t="inlineStr">
        <is>
          <t>Dynamic hypothesis generation/testing</t>
        </is>
      </c>
      <c r="E44" s="12" t="inlineStr">
        <is>
          <t>In Progress</t>
        </is>
      </c>
      <c r="F44" s="12" t="inlineStr">
        <is>
          <t>High</t>
        </is>
      </c>
      <c r="G44" s="12" t="str"/>
      <c r="H44" s="30" t="n"/>
      <c r="I44" s="12" t="inlineStr">
        <is>
          <t>Expected-vs-contradicting evidence loop incomplete.</t>
        </is>
      </c>
    </row>
    <row r="45">
      <c r="A45" s="12" t="n">
        <v>44</v>
      </c>
      <c r="B45" s="12" t="inlineStr">
        <is>
          <t>Phase 4</t>
        </is>
      </c>
      <c r="C45" s="12" t="inlineStr">
        <is>
          <t>Dynamic Investigation &amp; Confidence</t>
        </is>
      </c>
      <c r="D45" s="12" t="inlineStr">
        <is>
          <t>Allow insufficient evidence / unknown cause</t>
        </is>
      </c>
      <c r="E45" s="12" t="inlineStr">
        <is>
          <t>Completed</t>
        </is>
      </c>
      <c r="F45" s="12" t="inlineStr">
        <is>
          <t>Critical</t>
        </is>
      </c>
      <c r="G45" s="12" t="str"/>
      <c r="H45" s="30" t="n"/>
      <c r="I45" s="12" t="inlineStr">
        <is>
          <t>Implemented.</t>
        </is>
      </c>
    </row>
    <row r="46">
      <c r="A46" s="12" t="n">
        <v>45</v>
      </c>
      <c r="B46" s="12" t="inlineStr">
        <is>
          <t>Phase 4</t>
        </is>
      </c>
      <c r="C46" s="12" t="inlineStr">
        <is>
          <t>Dynamic Investigation &amp; Confidence</t>
        </is>
      </c>
      <c r="D46" s="12" t="inlineStr">
        <is>
          <t>Support multiple possible causes</t>
        </is>
      </c>
      <c r="E46" s="12" t="inlineStr">
        <is>
          <t>In Progress</t>
        </is>
      </c>
      <c r="F46" s="12" t="inlineStr">
        <is>
          <t>Medium</t>
        </is>
      </c>
      <c r="G46" s="12" t="str"/>
      <c r="H46" s="30" t="n"/>
      <c r="I46" s="12" t="inlineStr">
        <is>
          <t>Needs validation.</t>
        </is>
      </c>
    </row>
    <row r="47">
      <c r="A47" s="12" t="n">
        <v>46</v>
      </c>
      <c r="B47" s="12" t="inlineStr">
        <is>
          <t>Phase 5</t>
        </is>
      </c>
      <c r="C47" s="12" t="inlineStr">
        <is>
          <t>Testing &amp; Evaluation</t>
        </is>
      </c>
      <c r="D47" s="12" t="inlineStr">
        <is>
          <t>Automated Python test suite</t>
        </is>
      </c>
      <c r="E47" s="12" t="inlineStr">
        <is>
          <t>Completed</t>
        </is>
      </c>
      <c r="F47" s="12" t="inlineStr">
        <is>
          <t>High</t>
        </is>
      </c>
      <c r="G47" s="12" t="str"/>
      <c r="H47" s="30" t="n"/>
      <c r="I47" s="12" t="inlineStr">
        <is>
          <t>Substantial coverage exists.</t>
        </is>
      </c>
    </row>
    <row r="48">
      <c r="A48" s="12" t="n">
        <v>47</v>
      </c>
      <c r="B48" s="12" t="inlineStr">
        <is>
          <t>Phase 5</t>
        </is>
      </c>
      <c r="C48" s="12" t="inlineStr">
        <is>
          <t>Testing &amp; Evaluation</t>
        </is>
      </c>
      <c r="D48" s="12" t="inlineStr">
        <is>
          <t>Terraform native tests</t>
        </is>
      </c>
      <c r="E48" s="12" t="inlineStr">
        <is>
          <t>Completed</t>
        </is>
      </c>
      <c r="F48" s="12" t="inlineStr">
        <is>
          <t>High</t>
        </is>
      </c>
      <c r="G48" s="12" t="str"/>
      <c r="H48" s="30" t="n"/>
      <c r="I48" s="12" t="inlineStr">
        <is>
          <t>Implemented.</t>
        </is>
      </c>
    </row>
    <row r="49">
      <c r="A49" s="12" t="n">
        <v>48</v>
      </c>
      <c r="B49" s="12" t="inlineStr">
        <is>
          <t>Phase 5</t>
        </is>
      </c>
      <c r="C49" s="12" t="inlineStr">
        <is>
          <t>Testing &amp; Evaluation</t>
        </is>
      </c>
      <c r="D49" s="12" t="inlineStr">
        <is>
          <t>Golden evaluation dataset</t>
        </is>
      </c>
      <c r="E49" s="12" t="inlineStr">
        <is>
          <t>Completed</t>
        </is>
      </c>
      <c r="F49" s="12" t="inlineStr">
        <is>
          <t>High</t>
        </is>
      </c>
      <c r="G49" s="12" t="str"/>
      <c r="H49" s="30" t="n"/>
      <c r="I49" s="12" t="inlineStr">
        <is>
          <t>Foundation dataset exists.</t>
        </is>
      </c>
    </row>
    <row r="50">
      <c r="A50" s="12" t="n">
        <v>49</v>
      </c>
      <c r="B50" s="12" t="inlineStr">
        <is>
          <t>Phase 5</t>
        </is>
      </c>
      <c r="C50" s="12" t="inlineStr">
        <is>
          <t>Testing &amp; Evaluation</t>
        </is>
      </c>
      <c r="D50" s="12" t="inlineStr">
        <is>
          <t>Evaluation runner</t>
        </is>
      </c>
      <c r="E50" s="12" t="inlineStr">
        <is>
          <t>Completed</t>
        </is>
      </c>
      <c r="F50" s="12" t="inlineStr">
        <is>
          <t>High</t>
        </is>
      </c>
      <c r="G50" s="12" t="str"/>
      <c r="H50" s="30" t="n"/>
      <c r="I50" s="12" t="inlineStr">
        <is>
          <t>Implemented.</t>
        </is>
      </c>
    </row>
    <row r="51">
      <c r="A51" s="12" t="n">
        <v>50</v>
      </c>
      <c r="B51" s="12" t="inlineStr">
        <is>
          <t>Phase 5</t>
        </is>
      </c>
      <c r="C51" s="12" t="inlineStr">
        <is>
          <t>Testing &amp; Evaluation</t>
        </is>
      </c>
      <c r="D51" s="12" t="inlineStr">
        <is>
          <t>Unit tests for all LangGraph nodes</t>
        </is>
      </c>
      <c r="E51" s="12" t="inlineStr">
        <is>
          <t>In Progress</t>
        </is>
      </c>
      <c r="F51" s="12" t="inlineStr">
        <is>
          <t>High</t>
        </is>
      </c>
      <c r="G51" s="12" t="str"/>
      <c r="H51" s="30" t="n"/>
      <c r="I51" s="12" t="inlineStr">
        <is>
          <t>Several direct node tests remain.</t>
        </is>
      </c>
    </row>
    <row r="52">
      <c r="A52" s="12" t="n">
        <v>51</v>
      </c>
      <c r="B52" s="12" t="inlineStr">
        <is>
          <t>Phase 5</t>
        </is>
      </c>
      <c r="C52" s="12" t="inlineStr">
        <is>
          <t>Testing &amp; Evaluation</t>
        </is>
      </c>
      <c r="D52" s="12" t="inlineStr">
        <is>
          <t>Full compiled graph E2E test</t>
        </is>
      </c>
      <c r="E52" s="12" t="inlineStr">
        <is>
          <t>Blocked</t>
        </is>
      </c>
      <c r="F52" s="12" t="inlineStr">
        <is>
          <t>Critical</t>
        </is>
      </c>
      <c r="G52" s="12" t="str"/>
      <c r="H52" s="30" t="n"/>
      <c r="I52" s="12" t="inlineStr">
        <is>
          <t>Required production validation gap.</t>
        </is>
      </c>
    </row>
    <row r="53">
      <c r="A53" s="12" t="n">
        <v>52</v>
      </c>
      <c r="B53" s="12" t="inlineStr">
        <is>
          <t>Phase 5</t>
        </is>
      </c>
      <c r="C53" s="12" t="inlineStr">
        <is>
          <t>Testing &amp; Evaluation</t>
        </is>
      </c>
      <c r="D53" s="12" t="inlineStr">
        <is>
          <t>Entrypoint → Agent → MCP → Evidence → Scorer E2E evaluation</t>
        </is>
      </c>
      <c r="E53" s="12" t="inlineStr">
        <is>
          <t>Blocked</t>
        </is>
      </c>
      <c r="F53" s="12" t="inlineStr">
        <is>
          <t>Critical</t>
        </is>
      </c>
      <c r="G53" s="12" t="str"/>
      <c r="H53" s="30" t="n"/>
      <c r="I53" s="12" t="inlineStr">
        <is>
          <t>Must prove full workflow.</t>
        </is>
      </c>
    </row>
    <row r="54">
      <c r="A54" s="12" t="n">
        <v>53</v>
      </c>
      <c r="B54" s="12" t="inlineStr">
        <is>
          <t>Phase 5</t>
        </is>
      </c>
      <c r="C54" s="12" t="inlineStr">
        <is>
          <t>Testing &amp; Evaluation</t>
        </is>
      </c>
      <c r="D54" s="12" t="inlineStr">
        <is>
          <t>Expand production-like golden scenarios</t>
        </is>
      </c>
      <c r="E54" s="12" t="inlineStr">
        <is>
          <t>In Progress</t>
        </is>
      </c>
      <c r="F54" s="12" t="inlineStr">
        <is>
          <t>High</t>
        </is>
      </c>
      <c r="G54" s="12" t="str"/>
      <c r="H54" s="30" t="n"/>
      <c r="I54" s="12" t="inlineStr">
        <is>
          <t>Add complex/conflicting/stale/missing evidence.</t>
        </is>
      </c>
    </row>
    <row r="55">
      <c r="A55" s="12" t="n">
        <v>54</v>
      </c>
      <c r="B55" s="12" t="inlineStr">
        <is>
          <t>Phase 5</t>
        </is>
      </c>
      <c r="C55" s="12" t="inlineStr">
        <is>
          <t>Testing &amp; Evaluation</t>
        </is>
      </c>
      <c r="D55" s="12" t="inlineStr">
        <is>
          <t>MCP failure and wrong-cluster safety tests</t>
        </is>
      </c>
      <c r="E55" s="12" t="inlineStr">
        <is>
          <t>In Progress</t>
        </is>
      </c>
      <c r="F55" s="12" t="inlineStr">
        <is>
          <t>Critical</t>
        </is>
      </c>
      <c r="G55" s="12" t="str"/>
      <c r="H55" s="30" t="n"/>
      <c r="I55" s="12" t="inlineStr">
        <is>
          <t>Routing-safety testing incomplete.</t>
        </is>
      </c>
    </row>
    <row r="56">
      <c r="A56" s="12" t="n">
        <v>55</v>
      </c>
      <c r="B56" s="12" t="inlineStr">
        <is>
          <t>Phase 5</t>
        </is>
      </c>
      <c r="C56" s="12" t="inlineStr">
        <is>
          <t>Testing &amp; Evaluation</t>
        </is>
      </c>
      <c r="D56" s="12" t="inlineStr">
        <is>
          <t>LLM-judge evaluation</t>
        </is>
      </c>
      <c r="E56" s="12" t="inlineStr">
        <is>
          <t>Not Started</t>
        </is>
      </c>
      <c r="F56" s="12" t="inlineStr">
        <is>
          <t>Low</t>
        </is>
      </c>
      <c r="G56" s="12" t="str"/>
      <c r="H56" s="30" t="n"/>
      <c r="I56" s="12" t="inlineStr">
        <is>
          <t>Secondary evaluation only.</t>
        </is>
      </c>
    </row>
    <row r="57">
      <c r="A57" s="12" t="n">
        <v>56</v>
      </c>
      <c r="B57" s="12" t="inlineStr">
        <is>
          <t>Phase 5</t>
        </is>
      </c>
      <c r="C57" s="12" t="inlineStr">
        <is>
          <t>Testing &amp; Evaluation</t>
        </is>
      </c>
      <c r="D57" s="12" t="inlineStr">
        <is>
          <t>Regression tests for fixed issues</t>
        </is>
      </c>
      <c r="E57" s="12" t="inlineStr">
        <is>
          <t>In Progress</t>
        </is>
      </c>
      <c r="F57" s="12" t="inlineStr">
        <is>
          <t>High</t>
        </is>
      </c>
      <c r="G57" s="12" t="str"/>
      <c r="H57" s="30" t="n"/>
      <c r="I57" s="12" t="inlineStr">
        <is>
          <t>Continue adding for every fix.</t>
        </is>
      </c>
    </row>
    <row r="58">
      <c r="A58" s="12" t="n">
        <v>57</v>
      </c>
      <c r="B58" s="12" t="inlineStr">
        <is>
          <t>Phase 5</t>
        </is>
      </c>
      <c r="C58" s="12" t="inlineStr">
        <is>
          <t>Testing &amp; Evaluation</t>
        </is>
      </c>
      <c r="D58" s="12" t="inlineStr">
        <is>
          <t>Structured engineer-feedback process</t>
        </is>
      </c>
      <c r="E58" s="12" t="inlineStr">
        <is>
          <t>Deferred</t>
        </is>
      </c>
      <c r="F58" s="12" t="inlineStr">
        <is>
          <t>Low</t>
        </is>
      </c>
      <c r="G58" s="12" t="str"/>
      <c r="H58" s="30" t="n"/>
      <c r="I58" s="12" t="inlineStr">
        <is>
          <t>Phase 2 enhancement.</t>
        </is>
      </c>
    </row>
    <row r="59">
      <c r="A59" s="12" t="n">
        <v>58</v>
      </c>
      <c r="B59" s="12" t="inlineStr">
        <is>
          <t>Phase 6</t>
        </is>
      </c>
      <c r="C59" s="12" t="inlineStr">
        <is>
          <t>Observability &amp; Reliability</t>
        </is>
      </c>
      <c r="D59" s="12" t="inlineStr">
        <is>
          <t>Structured logging</t>
        </is>
      </c>
      <c r="E59" s="12" t="inlineStr">
        <is>
          <t>Completed</t>
        </is>
      </c>
      <c r="F59" s="12" t="inlineStr">
        <is>
          <t>High</t>
        </is>
      </c>
      <c r="G59" s="12" t="str"/>
      <c r="H59" s="30" t="n"/>
      <c r="I59" s="12" t="inlineStr">
        <is>
          <t>Implemented.</t>
        </is>
      </c>
    </row>
    <row r="60">
      <c r="A60" s="12" t="n">
        <v>59</v>
      </c>
      <c r="B60" s="12" t="inlineStr">
        <is>
          <t>Phase 6</t>
        </is>
      </c>
      <c r="C60" s="12" t="inlineStr">
        <is>
          <t>Observability &amp; Reliability</t>
        </is>
      </c>
      <c r="D60" s="12" t="inlineStr">
        <is>
          <t>Distributed tracing foundation</t>
        </is>
      </c>
      <c r="E60" s="12" t="inlineStr">
        <is>
          <t>Completed</t>
        </is>
      </c>
      <c r="F60" s="12" t="inlineStr">
        <is>
          <t>High</t>
        </is>
      </c>
      <c r="G60" s="12" t="str"/>
      <c r="H60" s="30" t="n"/>
      <c r="I60" s="12" t="inlineStr">
        <is>
          <t>Implemented.</t>
        </is>
      </c>
    </row>
    <row r="61">
      <c r="A61" s="12" t="n">
        <v>60</v>
      </c>
      <c r="B61" s="12" t="inlineStr">
        <is>
          <t>Phase 6</t>
        </is>
      </c>
      <c r="C61" s="12" t="inlineStr">
        <is>
          <t>Observability &amp; Reliability</t>
        </is>
      </c>
      <c r="D61" s="12" t="inlineStr">
        <is>
          <t>Investigation/run IDs</t>
        </is>
      </c>
      <c r="E61" s="12" t="inlineStr">
        <is>
          <t>Completed</t>
        </is>
      </c>
      <c r="F61" s="12" t="inlineStr">
        <is>
          <t>High</t>
        </is>
      </c>
      <c r="G61" s="12" t="str"/>
      <c r="H61" s="30" t="n"/>
      <c r="I61" s="12" t="inlineStr">
        <is>
          <t>Implemented.</t>
        </is>
      </c>
    </row>
    <row r="62">
      <c r="A62" s="12" t="n">
        <v>61</v>
      </c>
      <c r="B62" s="12" t="inlineStr">
        <is>
          <t>Phase 6</t>
        </is>
      </c>
      <c r="C62" s="12" t="inlineStr">
        <is>
          <t>Observability &amp; Reliability</t>
        </is>
      </c>
      <c r="D62" s="12" t="inlineStr">
        <is>
          <t>Metrics and alert policies</t>
        </is>
      </c>
      <c r="E62" s="12" t="inlineStr">
        <is>
          <t>Completed</t>
        </is>
      </c>
      <c r="F62" s="12" t="inlineStr">
        <is>
          <t>High</t>
        </is>
      </c>
      <c r="G62" s="12" t="str"/>
      <c r="H62" s="30" t="n"/>
      <c r="I62" s="12" t="inlineStr">
        <is>
          <t>11 metrics and 11 alerts exist.</t>
        </is>
      </c>
    </row>
    <row r="63">
      <c r="A63" s="12" t="n">
        <v>62</v>
      </c>
      <c r="B63" s="12" t="inlineStr">
        <is>
          <t>Phase 6</t>
        </is>
      </c>
      <c r="C63" s="12" t="inlineStr">
        <is>
          <t>Observability &amp; Reliability</t>
        </is>
      </c>
      <c r="D63" s="12" t="inlineStr">
        <is>
          <t>Cloud Trace export restored and verified end-to-end</t>
        </is>
      </c>
      <c r="E63" s="12" t="inlineStr">
        <is>
          <t>Completed</t>
        </is>
      </c>
      <c r="F63" s="12" t="inlineStr">
        <is>
          <t>High</t>
        </is>
      </c>
      <c r="G63" s="12" t="str"/>
      <c r="H63" s="30" t="n"/>
      <c r="I63" s="12" t="inlineStr">
        <is>
          <t>Cloud Trace export restored and verified end-to-end -- 2026-08-13. Three root causes fixed (PR #136, #137): lazy tracer init losing setup race, wrong Cloud Trace hostname, wrong gRPC protocol binding for Cloud Trace. Live proof: run_20260813_222248_ybag -- flush_traces result=True, real trace ada23f5a144e8b327fe6fc51c3a426b4 with 54 correlated spans (outer + all LangGraph nodes + Gemini calls), metadata-only content confirmed. GitHub #130 and #29 closed. NOTE: this covers Cloud Trace ONLY -- the separate Cloud Logging observability-write 403 is NOT fixed by this work, tracked separately as tracker ID 152 / GitHub #139.</t>
        </is>
      </c>
    </row>
    <row r="64">
      <c r="A64" s="12" t="n">
        <v>63</v>
      </c>
      <c r="B64" s="12" t="inlineStr">
        <is>
          <t>Phase 6</t>
        </is>
      </c>
      <c r="C64" s="12" t="inlineStr">
        <is>
          <t>Observability &amp; Reliability</t>
        </is>
      </c>
      <c r="D64" s="12" t="inlineStr">
        <is>
          <t>Operational dashboard</t>
        </is>
      </c>
      <c r="E64" s="12" t="inlineStr">
        <is>
          <t>Not Started</t>
        </is>
      </c>
      <c r="F64" s="12" t="inlineStr">
        <is>
          <t>Medium</t>
        </is>
      </c>
      <c r="G64" s="12" t="str"/>
      <c r="H64" s="30" t="n"/>
      <c r="I64" s="12" t="inlineStr">
        <is>
          <t>Needed for operations.</t>
        </is>
      </c>
    </row>
    <row r="65">
      <c r="A65" s="12" t="n">
        <v>64</v>
      </c>
      <c r="B65" s="12" t="inlineStr">
        <is>
          <t>Phase 6</t>
        </is>
      </c>
      <c r="C65" s="12" t="inlineStr">
        <is>
          <t>Observability &amp; Reliability</t>
        </is>
      </c>
      <c r="D65" s="12" t="inlineStr">
        <is>
          <t>Controlled delivery test for every alert</t>
        </is>
      </c>
      <c r="E65" s="12" t="inlineStr">
        <is>
          <t>Not Started</t>
        </is>
      </c>
      <c r="F65" s="12" t="inlineStr">
        <is>
          <t>High</t>
        </is>
      </c>
      <c r="G65" s="12" t="str"/>
      <c r="H65" s="30" t="n"/>
      <c r="I65" s="12" t="inlineStr">
        <is>
          <t>Configured alerts must be proven.</t>
        </is>
      </c>
    </row>
    <row r="66">
      <c r="A66" s="12" t="n">
        <v>65</v>
      </c>
      <c r="B66" s="12" t="inlineStr">
        <is>
          <t>Phase 6</t>
        </is>
      </c>
      <c r="C66" s="12" t="inlineStr">
        <is>
          <t>Observability &amp; Reliability</t>
        </is>
      </c>
      <c r="D66" s="12" t="inlineStr">
        <is>
          <t>Mitigate managed Reasoning Engine stream timeout / high investigation latency</t>
        </is>
      </c>
      <c r="E66" s="12" t="inlineStr">
        <is>
          <t>Completed</t>
        </is>
      </c>
      <c r="F66" s="12" t="inlineStr">
        <is>
          <t>Critical</t>
        </is>
      </c>
      <c r="G66" s="12" t="str"/>
      <c r="H66" s="30" t="n"/>
      <c r="I66" s="12" t="inlineStr">
        <is>
          <t>RESOLVED 2026-08-15 via native stream_query() (PR #160, merge commit 0a15f93). Deployment: Agent Engine updated in place (Terraform 0 add/1 change/0 destroy, Agent Engine ID 7801582006105538560 unchanged, createTime unchanged, Agent Identity and Agent Gateway attachment preserved). Live E2E run_id run_20260815_121835_mmmq: 315.3s duration (past the original ~300s transport boundary), 34 stream progress events, 5 real GKE Remote MCP tool calls/evidence collected, truthful final RCA returned, no stream-timeout error. Native streaming (--stream-query) is now the supported long-running invocation path. Synchronous query() remains available but keeps its known ~300s managed transport limit. asyncQuery/run_query_job (#156) stays in repo, experimental/Google-blocked, not required for this resolution. Follow-up (separate, does not reopen this): Cloud Trace span-fragmentation regression found during validation, tracked as new issue #161 -- not yet added as its own tracker row, pending approval.</t>
        </is>
      </c>
    </row>
    <row r="67">
      <c r="A67" s="12" t="n">
        <v>66</v>
      </c>
      <c r="B67" s="12" t="inlineStr">
        <is>
          <t>Phase 6</t>
        </is>
      </c>
      <c r="C67" s="12" t="inlineStr">
        <is>
          <t>Observability &amp; Reliability</t>
        </is>
      </c>
      <c r="D67" s="12" t="inlineStr">
        <is>
          <t>Define retry, timeout and backoff behaviour</t>
        </is>
      </c>
      <c r="E67" s="12" t="inlineStr">
        <is>
          <t>In Progress</t>
        </is>
      </c>
      <c r="F67" s="12" t="inlineStr">
        <is>
          <t>Critical</t>
        </is>
      </c>
      <c r="G67" s="12" t="str"/>
      <c r="H67" s="30" t="n"/>
      <c r="I67" s="12" t="inlineStr">
        <is>
          <t>Align client/backend/tool behavior.</t>
        </is>
      </c>
    </row>
    <row r="68">
      <c r="A68" s="12" t="n">
        <v>67</v>
      </c>
      <c r="B68" s="12" t="inlineStr">
        <is>
          <t>Phase 6</t>
        </is>
      </c>
      <c r="C68" s="12" t="inlineStr">
        <is>
          <t>Observability &amp; Reliability</t>
        </is>
      </c>
      <c r="D68" s="12" t="inlineStr">
        <is>
          <t>Define investigation/tool/token/cost limits</t>
        </is>
      </c>
      <c r="E68" s="12" t="inlineStr">
        <is>
          <t>In Progress</t>
        </is>
      </c>
      <c r="F68" s="12" t="inlineStr">
        <is>
          <t>High</t>
        </is>
      </c>
      <c r="G68" s="12" t="str"/>
      <c r="H68" s="30" t="n"/>
      <c r="I68" s="12" t="inlineStr">
        <is>
          <t>Monitoring/token-budget slice DONE 2026-08-12 (PR #102, commit 85030c8). Deployed, live-validated: real MAX_TOKENS_PER_RUN=100000 confirmed on the live engine, real investigation tokens_total correctly metered (1 data point per run, not duplicated across per-node events), synthetic threshold test opened a real alert incident (0.obcxlxk5jaf5). Remaining: removing the inaccurate hardcoded local dollar-cost estimation -- separate, not started. GitHub issue #63 itself is closed (was about a DIFFERENT bug, the Flash/Pro pricing mismatch, already fixed) -- this remaining work has no dedicated GitHub issue of its own yet.</t>
        </is>
      </c>
    </row>
    <row r="69">
      <c r="A69" s="12" t="n">
        <v>68</v>
      </c>
      <c r="B69" s="12" t="inlineStr">
        <is>
          <t>Phase 6</t>
        </is>
      </c>
      <c r="C69" s="12" t="inlineStr">
        <is>
          <t>Observability &amp; Reliability</t>
        </is>
      </c>
      <c r="D69" s="12" t="inlineStr">
        <is>
          <t>Create operational runbooks</t>
        </is>
      </c>
      <c r="E69" s="12" t="inlineStr">
        <is>
          <t>In Progress</t>
        </is>
      </c>
      <c r="F69" s="12" t="inlineStr">
        <is>
          <t>Medium</t>
        </is>
      </c>
      <c r="G69" s="12" t="str"/>
      <c r="H69" s="30" t="n"/>
      <c r="I69" s="12" t="inlineStr">
        <is>
          <t>Needs final procedures.</t>
        </is>
      </c>
    </row>
    <row r="70">
      <c r="A70" s="12" t="n">
        <v>69</v>
      </c>
      <c r="B70" s="12" t="inlineStr">
        <is>
          <t>Phase 7</t>
        </is>
      </c>
      <c r="C70" s="12" t="inlineStr">
        <is>
          <t>Multi-Cluster Scalability</t>
        </is>
      </c>
      <c r="D70" s="12" t="inlineStr">
        <is>
          <t>Multi-cluster registry</t>
        </is>
      </c>
      <c r="E70" s="12" t="inlineStr">
        <is>
          <t>Completed</t>
        </is>
      </c>
      <c r="F70" s="12" t="inlineStr">
        <is>
          <t>Critical</t>
        </is>
      </c>
      <c r="G70" s="12" t="str"/>
      <c r="H70" s="30" t="n"/>
      <c r="I70" s="12" t="inlineStr">
        <is>
          <t>Terraform-managed registry implemented.</t>
        </is>
      </c>
    </row>
    <row r="71">
      <c r="A71" s="12" t="n">
        <v>70</v>
      </c>
      <c r="B71" s="12" t="inlineStr">
        <is>
          <t>Phase 7</t>
        </is>
      </c>
      <c r="C71" s="12" t="inlineStr">
        <is>
          <t>Multi-Cluster Scalability</t>
        </is>
      </c>
      <c r="D71" s="12" t="inlineStr">
        <is>
          <t>Prevent Terraform from removing registered clusters accidentally</t>
        </is>
      </c>
      <c r="E71" s="12" t="inlineStr">
        <is>
          <t>Completed</t>
        </is>
      </c>
      <c r="F71" s="12" t="inlineStr">
        <is>
          <t>Critical</t>
        </is>
      </c>
      <c r="G71" s="12" t="str"/>
      <c r="H71" s="30" t="n"/>
      <c r="I71" s="12" t="inlineStr">
        <is>
          <t>Registry ownership bug fixed.</t>
        </is>
      </c>
    </row>
    <row r="72">
      <c r="A72" s="12" t="n">
        <v>71</v>
      </c>
      <c r="B72" s="12" t="inlineStr">
        <is>
          <t>Phase 7</t>
        </is>
      </c>
      <c r="C72" s="12" t="inlineStr">
        <is>
          <t>Multi-Cluster Scalability</t>
        </is>
      </c>
      <c r="D72" s="12" t="inlineStr">
        <is>
          <t>Deterministic cluster-type routing</t>
        </is>
      </c>
      <c r="E72" s="12" t="inlineStr">
        <is>
          <t>Completed</t>
        </is>
      </c>
      <c r="F72" s="12" t="inlineStr">
        <is>
          <t>Critical</t>
        </is>
      </c>
      <c r="G72" s="12" t="str"/>
      <c r="H72" s="30" t="n"/>
      <c r="I72" s="12" t="inlineStr">
        <is>
          <t>Implemented.</t>
        </is>
      </c>
    </row>
    <row r="73">
      <c r="A73" s="12" t="n">
        <v>72</v>
      </c>
      <c r="B73" s="12" t="inlineStr">
        <is>
          <t>Phase 7</t>
        </is>
      </c>
      <c r="C73" s="12" t="inlineStr">
        <is>
          <t>Multi-Cluster Scalability</t>
        </is>
      </c>
      <c r="D73" s="12" t="inlineStr">
        <is>
          <t>Cluster onboarding/update/removal/rollback workflow</t>
        </is>
      </c>
      <c r="E73" s="12" t="inlineStr">
        <is>
          <t>In Progress</t>
        </is>
      </c>
      <c r="F73" s="12" t="inlineStr">
        <is>
          <t>High</t>
        </is>
      </c>
      <c r="G73" s="12" t="str"/>
      <c r="H73" s="30" t="n"/>
      <c r="I73" s="12" t="inlineStr">
        <is>
          <t>Needs repeatable validation.</t>
        </is>
      </c>
    </row>
    <row r="74">
      <c r="A74" s="12" t="n">
        <v>73</v>
      </c>
      <c r="B74" s="12" t="inlineStr">
        <is>
          <t>Phase 7</t>
        </is>
      </c>
      <c r="C74" s="12" t="inlineStr">
        <is>
          <t>Multi-Cluster Scalability</t>
        </is>
      </c>
      <c r="D74" s="12" t="inlineStr">
        <is>
          <t>Unknown/missing-cluster safe-stop validation</t>
        </is>
      </c>
      <c r="E74" s="12" t="inlineStr">
        <is>
          <t>Completed</t>
        </is>
      </c>
      <c r="F74" s="12" t="inlineStr">
        <is>
          <t>Critical</t>
        </is>
      </c>
      <c r="G74" s="12" t="str"/>
      <c r="H74" s="30" t="n"/>
      <c r="I74" s="12" t="inlineStr">
        <is>
          <t>PR #108 merged (d5fe1b2a), deployed (run 31585553325, engine 7801582006105538560 updated in-place, confirmed not recreated). Live E2E test run_20260812_101219_mbwh: all 7 required checks passed with log-level evidence -- loop_exit_reason=cluster_unresolved, cluster_routing_method=unresolved, zero MCP/tool calls (node sequence proves it), zero memory recall/save, truthful response, no unsupported root cause. Issue #73 closed.</t>
        </is>
      </c>
    </row>
    <row r="75">
      <c r="A75" s="12" t="n">
        <v>74</v>
      </c>
      <c r="B75" s="12" t="inlineStr">
        <is>
          <t>Phase 7</t>
        </is>
      </c>
      <c r="C75" s="12" t="inlineStr">
        <is>
          <t>Multi-Cluster Scalability</t>
        </is>
      </c>
      <c r="D75" s="12" t="inlineStr">
        <is>
          <t>Cross-project IAM for additional clusters</t>
        </is>
      </c>
      <c r="E75" s="12" t="inlineStr">
        <is>
          <t>In Progress</t>
        </is>
      </c>
      <c r="F75" s="12" t="inlineStr">
        <is>
          <t>Critical</t>
        </is>
      </c>
      <c r="G75" s="12" t="str"/>
      <c r="H75" s="30" t="n"/>
      <c r="I75" s="12" t="inlineStr">
        <is>
          <t>Required for production scale.</t>
        </is>
      </c>
    </row>
    <row r="76">
      <c r="A76" s="12" t="n">
        <v>75</v>
      </c>
      <c r="B76" s="12" t="inlineStr">
        <is>
          <t>Phase 7</t>
        </is>
      </c>
      <c r="C76" s="12" t="inlineStr">
        <is>
          <t>Multi-Cluster Scalability</t>
        </is>
      </c>
      <c r="D76" s="12" t="inlineStr">
        <is>
          <t>Namespace and cluster access controls</t>
        </is>
      </c>
      <c r="E76" s="12" t="inlineStr">
        <is>
          <t>In Progress</t>
        </is>
      </c>
      <c r="F76" s="12" t="inlineStr">
        <is>
          <t>High</t>
        </is>
      </c>
      <c r="G76" s="12" t="str"/>
      <c r="H76" s="30" t="n"/>
      <c r="I76" s="12" t="inlineStr">
        <is>
          <t>Needs final isolation model.</t>
        </is>
      </c>
    </row>
    <row r="77">
      <c r="A77" s="12" t="n">
        <v>76</v>
      </c>
      <c r="B77" s="12" t="inlineStr">
        <is>
          <t>Phase 7</t>
        </is>
      </c>
      <c r="C77" s="12" t="inlineStr">
        <is>
          <t>Multi-Cluster Scalability</t>
        </is>
      </c>
      <c r="D77" s="12" t="inlineStr">
        <is>
          <t>Concurrency/quota/failure-isolation testing</t>
        </is>
      </c>
      <c r="E77" s="12" t="inlineStr">
        <is>
          <t>Not Started</t>
        </is>
      </c>
      <c r="F77" s="12" t="inlineStr">
        <is>
          <t>High</t>
        </is>
      </c>
      <c r="G77" s="12" t="str"/>
      <c r="H77" s="30" t="n"/>
      <c r="I77" s="12" t="inlineStr">
        <is>
          <t>Scale testing remains.</t>
        </is>
      </c>
    </row>
    <row r="78">
      <c r="A78" s="12" t="n">
        <v>77</v>
      </c>
      <c r="B78" s="12" t="inlineStr">
        <is>
          <t>Phase 7</t>
        </is>
      </c>
      <c r="C78" s="12" t="inlineStr">
        <is>
          <t>Multi-Cluster Scalability</t>
        </is>
      </c>
      <c r="D78" s="12" t="inlineStr">
        <is>
          <t>Repeatable multi-cluster onboarding documentation</t>
        </is>
      </c>
      <c r="E78" s="12" t="inlineStr">
        <is>
          <t>In Progress</t>
        </is>
      </c>
      <c r="F78" s="12" t="inlineStr">
        <is>
          <t>Medium</t>
        </is>
      </c>
      <c r="G78" s="12" t="str"/>
      <c r="H78" s="30" t="n"/>
      <c r="I78" s="12" t="inlineStr">
        <is>
          <t>Runbook remains.</t>
        </is>
      </c>
    </row>
    <row r="79">
      <c r="A79" s="12" t="n">
        <v>78</v>
      </c>
      <c r="B79" s="12" t="inlineStr">
        <is>
          <t>Phase 8</t>
        </is>
      </c>
      <c r="C79" s="12" t="inlineStr">
        <is>
          <t>MCP Tool Architecture</t>
        </is>
      </c>
      <c r="D79" s="12" t="inlineStr">
        <is>
          <t>GKE Remote MCP primary source</t>
        </is>
      </c>
      <c r="E79" s="12" t="inlineStr">
        <is>
          <t>Completed</t>
        </is>
      </c>
      <c r="F79" s="12" t="inlineStr">
        <is>
          <t>Critical</t>
        </is>
      </c>
      <c r="G79" s="12" t="str"/>
      <c r="H79" s="30" t="n"/>
      <c r="I79" s="12" t="inlineStr">
        <is>
          <t>Working.</t>
        </is>
      </c>
    </row>
    <row r="80">
      <c r="A80" s="12" t="n">
        <v>79</v>
      </c>
      <c r="B80" s="12" t="inlineStr">
        <is>
          <t>Phase 8</t>
        </is>
      </c>
      <c r="C80" s="12" t="inlineStr">
        <is>
          <t>MCP Tool Architecture</t>
        </is>
      </c>
      <c r="D80" s="12" t="inlineStr">
        <is>
          <t>MCP registry and deterministic routing</t>
        </is>
      </c>
      <c r="E80" s="12" t="inlineStr">
        <is>
          <t>Completed</t>
        </is>
      </c>
      <c r="F80" s="12" t="inlineStr">
        <is>
          <t>Critical</t>
        </is>
      </c>
      <c r="G80" s="12" t="str"/>
      <c r="H80" s="30" t="n"/>
      <c r="I80" s="12" t="inlineStr">
        <is>
          <t>Implemented.</t>
        </is>
      </c>
    </row>
    <row r="81">
      <c r="A81" s="12" t="n">
        <v>80</v>
      </c>
      <c r="B81" s="12" t="inlineStr">
        <is>
          <t>Phase 8</t>
        </is>
      </c>
      <c r="C81" s="12" t="inlineStr">
        <is>
          <t>MCP Tool Architecture</t>
        </is>
      </c>
      <c r="D81" s="12" t="inlineStr">
        <is>
          <t>Custom read-only Kubernetes MCP code</t>
        </is>
      </c>
      <c r="E81" s="12" t="inlineStr">
        <is>
          <t>Completed</t>
        </is>
      </c>
      <c r="F81" s="12" t="inlineStr">
        <is>
          <t>High</t>
        </is>
      </c>
      <c r="G81" s="12" t="str"/>
      <c r="H81" s="30" t="n"/>
      <c r="I81" s="12" t="inlineStr">
        <is>
          <t>Code exists with mutation guards.</t>
        </is>
      </c>
    </row>
    <row r="82">
      <c r="A82" s="12" t="n">
        <v>81</v>
      </c>
      <c r="B82" s="12" t="inlineStr">
        <is>
          <t>Phase 8</t>
        </is>
      </c>
      <c r="C82" s="12" t="inlineStr">
        <is>
          <t>MCP Tool Architecture</t>
        </is>
      </c>
      <c r="D82" s="12" t="inlineStr">
        <is>
          <t>Source-agnostic MCP interface</t>
        </is>
      </c>
      <c r="E82" s="12" t="inlineStr">
        <is>
          <t>In Progress</t>
        </is>
      </c>
      <c r="F82" s="12" t="inlineStr">
        <is>
          <t>High</t>
        </is>
      </c>
      <c r="G82" s="12" t="str"/>
      <c r="H82" s="30" t="n"/>
      <c r="I82" s="12" t="inlineStr">
        <is>
          <t>Needs stronger common abstraction.</t>
        </is>
      </c>
    </row>
    <row r="83">
      <c r="A83" s="12" t="n">
        <v>82</v>
      </c>
      <c r="B83" s="12" t="inlineStr">
        <is>
          <t>Phase 8</t>
        </is>
      </c>
      <c r="C83" s="12" t="inlineStr">
        <is>
          <t>MCP Tool Architecture</t>
        </is>
      </c>
      <c r="D83" s="12" t="inlineStr">
        <is>
          <t>Normalize evidence returned by MCP servers</t>
        </is>
      </c>
      <c r="E83" s="12" t="inlineStr">
        <is>
          <t>In Progress</t>
        </is>
      </c>
      <c r="F83" s="12" t="inlineStr">
        <is>
          <t>High</t>
        </is>
      </c>
      <c r="G83" s="12" t="str"/>
      <c r="H83" s="30" t="n"/>
      <c r="I83" s="12" t="inlineStr">
        <is>
          <t>Common contract not fully generalized.</t>
        </is>
      </c>
    </row>
    <row r="84">
      <c r="A84" s="12" t="n">
        <v>83</v>
      </c>
      <c r="B84" s="12" t="inlineStr">
        <is>
          <t>Phase 8</t>
        </is>
      </c>
      <c r="C84" s="12" t="inlineStr">
        <is>
          <t>MCP Tool Architecture</t>
        </is>
      </c>
      <c r="D84" s="12" t="inlineStr">
        <is>
          <t>Repeatable MCP-server onboarding process</t>
        </is>
      </c>
      <c r="E84" s="12" t="inlineStr">
        <is>
          <t>In Progress</t>
        </is>
      </c>
      <c r="F84" s="12" t="inlineStr">
        <is>
          <t>Medium</t>
        </is>
      </c>
      <c r="G84" s="12" t="str"/>
      <c r="H84" s="30" t="n"/>
      <c r="I84" s="12" t="inlineStr">
        <is>
          <t>Needs documented contract.</t>
        </is>
      </c>
    </row>
    <row r="85">
      <c r="A85" s="12" t="n">
        <v>84</v>
      </c>
      <c r="B85" s="12" t="inlineStr">
        <is>
          <t>Phase 8</t>
        </is>
      </c>
      <c r="C85" s="12" t="inlineStr">
        <is>
          <t>MCP Tool Architecture</t>
        </is>
      </c>
      <c r="D85" s="12" t="inlineStr">
        <is>
          <t>Output trimming and evidence validation</t>
        </is>
      </c>
      <c r="E85" s="12" t="inlineStr">
        <is>
          <t>In Progress</t>
        </is>
      </c>
      <c r="F85" s="12" t="inlineStr">
        <is>
          <t>High</t>
        </is>
      </c>
      <c r="G85" s="12" t="str"/>
      <c r="H85" s="30" t="n"/>
      <c r="I85" s="12" t="inlineStr">
        <is>
          <t>Important for cost and grounding.</t>
        </is>
      </c>
    </row>
    <row r="86">
      <c r="A86" s="12" t="n">
        <v>85</v>
      </c>
      <c r="B86" s="12" t="inlineStr">
        <is>
          <t>Phase 8</t>
        </is>
      </c>
      <c r="C86" s="12" t="inlineStr">
        <is>
          <t>MCP Tool Architecture</t>
        </is>
      </c>
      <c r="D86" s="12" t="inlineStr">
        <is>
          <t>Timeout/retry/rate-limit/audit requirements</t>
        </is>
      </c>
      <c r="E86" s="12" t="inlineStr">
        <is>
          <t>In Progress</t>
        </is>
      </c>
      <c r="F86" s="12" t="inlineStr">
        <is>
          <t>High</t>
        </is>
      </c>
      <c r="G86" s="12" t="str"/>
      <c r="H86" s="30" t="n"/>
      <c r="I86" s="12" t="inlineStr">
        <is>
          <t>Needs production contract.</t>
        </is>
      </c>
    </row>
    <row r="87">
      <c r="A87" s="12" t="n">
        <v>86</v>
      </c>
      <c r="B87" s="12" t="inlineStr">
        <is>
          <t>Phase 8</t>
        </is>
      </c>
      <c r="C87" s="12" t="inlineStr">
        <is>
          <t>MCP Tool Architecture</t>
        </is>
      </c>
      <c r="D87" s="12" t="inlineStr">
        <is>
          <t>Deploy Custom Kubernetes MCP in cloud</t>
        </is>
      </c>
      <c r="E87" s="12" t="inlineStr">
        <is>
          <t>Blocked</t>
        </is>
      </c>
      <c r="F87" s="12" t="inlineStr">
        <is>
          <t>Critical</t>
        </is>
      </c>
      <c r="G87" s="12" t="str"/>
      <c r="H87" s="30" t="n"/>
      <c r="I87" s="12" t="inlineStr">
        <is>
          <t>Required for non-GKE path.</t>
        </is>
      </c>
    </row>
    <row r="88">
      <c r="A88" s="12" t="n">
        <v>87</v>
      </c>
      <c r="B88" s="12" t="inlineStr">
        <is>
          <t>Phase 8</t>
        </is>
      </c>
      <c r="C88" s="12" t="inlineStr">
        <is>
          <t>MCP Tool Architecture</t>
        </is>
      </c>
      <c r="D88" s="12" t="inlineStr">
        <is>
          <t>Prevent arbitrary shell/write operations</t>
        </is>
      </c>
      <c r="E88" s="12" t="inlineStr">
        <is>
          <t>Completed</t>
        </is>
      </c>
      <c r="F88" s="12" t="inlineStr">
        <is>
          <t>Critical</t>
        </is>
      </c>
      <c r="G88" s="12" t="str"/>
      <c r="H88" s="30" t="n"/>
      <c r="I88" s="12" t="inlineStr">
        <is>
          <t>Read-only controls exist.</t>
        </is>
      </c>
    </row>
    <row r="89">
      <c r="A89" s="12" t="n">
        <v>88</v>
      </c>
      <c r="B89" s="12" t="inlineStr">
        <is>
          <t>Phase 9</t>
        </is>
      </c>
      <c r="C89" s="12" t="inlineStr">
        <is>
          <t>Cost &amp; Performance</t>
        </is>
      </c>
      <c r="D89" s="12" t="inlineStr">
        <is>
          <t>Detailed token telemetry</t>
        </is>
      </c>
      <c r="E89" s="12" t="inlineStr">
        <is>
          <t>Completed</t>
        </is>
      </c>
      <c r="F89" s="12" t="inlineStr">
        <is>
          <t>High</t>
        </is>
      </c>
      <c r="G89" s="12" t="str"/>
      <c r="H89" s="30" t="n"/>
      <c r="I89" s="12" t="inlineStr">
        <is>
          <t>Per-call and per-run telemetry exists.</t>
        </is>
      </c>
    </row>
    <row r="90">
      <c r="A90" s="12" t="n">
        <v>89</v>
      </c>
      <c r="B90" s="12" t="inlineStr">
        <is>
          <t>Phase 9</t>
        </is>
      </c>
      <c r="C90" s="12" t="inlineStr">
        <is>
          <t>Cost &amp; Performance</t>
        </is>
      </c>
      <c r="D90" s="12" t="inlineStr">
        <is>
          <t>Measure investigation cost and latency</t>
        </is>
      </c>
      <c r="E90" s="12" t="inlineStr">
        <is>
          <t>In Progress</t>
        </is>
      </c>
      <c r="F90" s="12" t="inlineStr">
        <is>
          <t>High</t>
        </is>
      </c>
      <c r="G90" s="12" t="str"/>
      <c r="H90" s="30" t="n"/>
      <c r="I90" s="12" t="inlineStr">
        <is>
          <t>Latency regression currently significant.</t>
        </is>
      </c>
    </row>
    <row r="91">
      <c r="A91" s="12" t="n">
        <v>90</v>
      </c>
      <c r="B91" s="12" t="inlineStr">
        <is>
          <t>Phase 9</t>
        </is>
      </c>
      <c r="C91" s="12" t="inlineStr">
        <is>
          <t>Cost &amp; Performance</t>
        </is>
      </c>
      <c r="D91" s="12" t="inlineStr">
        <is>
          <t>Reduce unnecessary investigation loops</t>
        </is>
      </c>
      <c r="E91" s="12" t="inlineStr">
        <is>
          <t>In Progress</t>
        </is>
      </c>
      <c r="F91" s="12" t="inlineStr">
        <is>
          <t>High</t>
        </is>
      </c>
      <c r="G91" s="12" t="str"/>
      <c r="H91" s="30" t="n"/>
      <c r="I91" s="12" t="inlineStr">
        <is>
          <t>Part of dynamic investigation hardening.</t>
        </is>
      </c>
    </row>
    <row r="92">
      <c r="A92" s="12" t="n">
        <v>91</v>
      </c>
      <c r="B92" s="12" t="inlineStr">
        <is>
          <t>Phase 9</t>
        </is>
      </c>
      <c r="C92" s="12" t="inlineStr">
        <is>
          <t>Cost &amp; Performance</t>
        </is>
      </c>
      <c r="D92" s="12" t="inlineStr">
        <is>
          <t>Trim and deduplicate evidence before model calls</t>
        </is>
      </c>
      <c r="E92" s="12" t="inlineStr">
        <is>
          <t>In Progress</t>
        </is>
      </c>
      <c r="F92" s="12" t="inlineStr">
        <is>
          <t>High</t>
        </is>
      </c>
      <c r="G92" s="12" t="str"/>
      <c r="H92" s="30" t="n"/>
      <c r="I92" s="12" t="inlineStr">
        <is>
          <t>Further optimization needed.</t>
        </is>
      </c>
    </row>
    <row r="93">
      <c r="A93" s="12" t="n">
        <v>92</v>
      </c>
      <c r="B93" s="12" t="inlineStr">
        <is>
          <t>Phase 9</t>
        </is>
      </c>
      <c r="C93" s="12" t="inlineStr">
        <is>
          <t>Cost &amp; Performance</t>
        </is>
      </c>
      <c r="D93" s="12" t="inlineStr">
        <is>
          <t>Per-investigation token/cost budgets</t>
        </is>
      </c>
      <c r="E93" s="12" t="inlineStr">
        <is>
          <t>In Progress</t>
        </is>
      </c>
      <c r="F93" s="12" t="inlineStr">
        <is>
          <t>High</t>
        </is>
      </c>
      <c r="G93" s="12" t="str"/>
      <c r="H93" s="30" t="n"/>
      <c r="I93" s="12" t="inlineStr">
        <is>
          <t>Guardrails not finalized.</t>
        </is>
      </c>
    </row>
    <row r="94">
      <c r="A94" s="12" t="n">
        <v>93</v>
      </c>
      <c r="B94" s="12" t="inlineStr">
        <is>
          <t>Phase 9</t>
        </is>
      </c>
      <c r="C94" s="12" t="inlineStr">
        <is>
          <t>Cost &amp; Performance</t>
        </is>
      </c>
      <c r="D94" s="12" t="inlineStr">
        <is>
          <t>Review model selection per workflow stage</t>
        </is>
      </c>
      <c r="E94" s="12" t="inlineStr">
        <is>
          <t>In Progress</t>
        </is>
      </c>
      <c r="F94" s="12" t="inlineStr">
        <is>
          <t>Medium</t>
        </is>
      </c>
      <c r="G94" s="12" t="str"/>
      <c r="H94" s="30" t="n"/>
      <c r="I94" s="12" t="inlineStr">
        <is>
          <t>Provider-neutral adapter exists.</t>
        </is>
      </c>
    </row>
    <row r="95">
      <c r="A95" s="12" t="n">
        <v>94</v>
      </c>
      <c r="B95" s="12" t="inlineStr">
        <is>
          <t>Phase 9</t>
        </is>
      </c>
      <c r="C95" s="12" t="inlineStr">
        <is>
          <t>Cost &amp; Performance</t>
        </is>
      </c>
      <c r="D95" s="12" t="inlineStr">
        <is>
          <t>Advanced caching and dynamic pricing</t>
        </is>
      </c>
      <c r="E95" s="12" t="inlineStr">
        <is>
          <t>Deferred</t>
        </is>
      </c>
      <c r="F95" s="12" t="inlineStr">
        <is>
          <t>Low</t>
        </is>
      </c>
      <c r="G95" s="12" t="str"/>
      <c r="H95" s="30" t="n"/>
      <c r="I95" s="12" t="inlineStr">
        <is>
          <t>Phase 2 optimization.</t>
        </is>
      </c>
    </row>
    <row r="96">
      <c r="A96" s="12" t="n">
        <v>95</v>
      </c>
      <c r="B96" s="12" t="inlineStr">
        <is>
          <t>Phase 10</t>
        </is>
      </c>
      <c r="C96" s="12" t="inlineStr">
        <is>
          <t>PagerDuty Integration</t>
        </is>
      </c>
      <c r="D96" s="12" t="inlineStr">
        <is>
          <t>Design PagerDuty-triggered workflow</t>
        </is>
      </c>
      <c r="E96" s="12" t="inlineStr">
        <is>
          <t>Not Started</t>
        </is>
      </c>
      <c r="F96" s="12" t="inlineStr">
        <is>
          <t>Critical</t>
        </is>
      </c>
      <c r="G96" s="12" t="str"/>
      <c r="H96" s="30" t="n"/>
      <c r="I96" s="12" t="inlineStr">
        <is>
          <t>Required Phase 1 integration.</t>
        </is>
      </c>
    </row>
    <row r="97">
      <c r="A97" s="12" t="n">
        <v>96</v>
      </c>
      <c r="B97" s="12" t="inlineStr">
        <is>
          <t>Phase 10</t>
        </is>
      </c>
      <c r="C97" s="12" t="inlineStr">
        <is>
          <t>PagerDuty Integration</t>
        </is>
      </c>
      <c r="D97" s="12" t="inlineStr">
        <is>
          <t>Authenticated Cloud Run webhook receiver</t>
        </is>
      </c>
      <c r="E97" s="12" t="inlineStr">
        <is>
          <t>Not Started</t>
        </is>
      </c>
      <c r="F97" s="12" t="inlineStr">
        <is>
          <t>Critical</t>
        </is>
      </c>
      <c r="G97" s="12" t="str"/>
      <c r="H97" s="30" t="n"/>
      <c r="I97" s="12" t="inlineStr">
        <is>
          <t>No implementation yet.</t>
        </is>
      </c>
    </row>
    <row r="98">
      <c r="A98" s="12" t="n">
        <v>97</v>
      </c>
      <c r="B98" s="12" t="inlineStr">
        <is>
          <t>Phase 10</t>
        </is>
      </c>
      <c r="C98" s="12" t="inlineStr">
        <is>
          <t>PagerDuty Integration</t>
        </is>
      </c>
      <c r="D98" s="12" t="inlineStr">
        <is>
          <t>Pub/Sub buffering and investigation workers</t>
        </is>
      </c>
      <c r="E98" s="12" t="inlineStr">
        <is>
          <t>Not Started</t>
        </is>
      </c>
      <c r="F98" s="12" t="inlineStr">
        <is>
          <t>High</t>
        </is>
      </c>
      <c r="G98" s="12" t="str"/>
      <c r="H98" s="30" t="n"/>
      <c r="I98" s="12" t="inlineStr">
        <is>
          <t>Planned scalable path.</t>
        </is>
      </c>
    </row>
    <row r="99">
      <c r="A99" s="12" t="n">
        <v>98</v>
      </c>
      <c r="B99" s="12" t="inlineStr">
        <is>
          <t>Phase 10</t>
        </is>
      </c>
      <c r="C99" s="12" t="inlineStr">
        <is>
          <t>PagerDuty Integration</t>
        </is>
      </c>
      <c r="D99" s="12" t="inlineStr">
        <is>
          <t>Webhook verification and replay protection</t>
        </is>
      </c>
      <c r="E99" s="12" t="inlineStr">
        <is>
          <t>Not Started</t>
        </is>
      </c>
      <c r="F99" s="12" t="inlineStr">
        <is>
          <t>Critical</t>
        </is>
      </c>
      <c r="G99" s="12" t="str"/>
      <c r="H99" s="30" t="n"/>
      <c r="I99" s="12" t="inlineStr">
        <is>
          <t>Security requirement.</t>
        </is>
      </c>
    </row>
    <row r="100">
      <c r="A100" s="12" t="n">
        <v>99</v>
      </c>
      <c r="B100" s="12" t="inlineStr">
        <is>
          <t>Phase 10</t>
        </is>
      </c>
      <c r="C100" s="12" t="inlineStr">
        <is>
          <t>PagerDuty Integration</t>
        </is>
      </c>
      <c r="D100" s="12" t="inlineStr">
        <is>
          <t>Incident deduplication and idempotency</t>
        </is>
      </c>
      <c r="E100" s="12" t="inlineStr">
        <is>
          <t>Not Started</t>
        </is>
      </c>
      <c r="F100" s="12" t="inlineStr">
        <is>
          <t>Critical</t>
        </is>
      </c>
      <c r="G100" s="12" t="str"/>
      <c r="H100" s="30" t="n"/>
      <c r="I100" s="12" t="inlineStr">
        <is>
          <t>Production requirement.</t>
        </is>
      </c>
    </row>
    <row r="101">
      <c r="A101" s="12" t="n">
        <v>100</v>
      </c>
      <c r="B101" s="12" t="inlineStr">
        <is>
          <t>Phase 10</t>
        </is>
      </c>
      <c r="C101" s="12" t="inlineStr">
        <is>
          <t>PagerDuty Integration</t>
        </is>
      </c>
      <c r="D101" s="12" t="inlineStr">
        <is>
          <t>Trigger read-only investigation from incident</t>
        </is>
      </c>
      <c r="E101" s="12" t="inlineStr">
        <is>
          <t>Not Started</t>
        </is>
      </c>
      <c r="F101" s="12" t="inlineStr">
        <is>
          <t>Critical</t>
        </is>
      </c>
      <c r="G101" s="12" t="str"/>
      <c r="H101" s="30" t="n"/>
      <c r="I101" s="12" t="inlineStr">
        <is>
          <t>Core integration goal.</t>
        </is>
      </c>
    </row>
    <row r="102">
      <c r="A102" s="12" t="n">
        <v>101</v>
      </c>
      <c r="B102" s="12" t="inlineStr">
        <is>
          <t>Phase 10</t>
        </is>
      </c>
      <c r="C102" s="12" t="inlineStr">
        <is>
          <t>PagerDuty Integration</t>
        </is>
      </c>
      <c r="D102" s="12" t="inlineStr">
        <is>
          <t>Post RCA draft back to PagerDuty</t>
        </is>
      </c>
      <c r="E102" s="12" t="inlineStr">
        <is>
          <t>Not Started</t>
        </is>
      </c>
      <c r="F102" s="12" t="inlineStr">
        <is>
          <t>High</t>
        </is>
      </c>
      <c r="G102" s="12" t="str"/>
      <c r="H102" s="30" t="n"/>
      <c r="I102" s="12" t="inlineStr">
        <is>
          <t>Include evidence/confidence/unknowns/next checks.</t>
        </is>
      </c>
    </row>
    <row r="103">
      <c r="A103" s="12" t="n">
        <v>102</v>
      </c>
      <c r="B103" s="12" t="inlineStr">
        <is>
          <t>Phase 11</t>
        </is>
      </c>
      <c r="C103" s="12" t="inlineStr">
        <is>
          <t>Additional MCP Sources</t>
        </is>
      </c>
      <c r="D103" s="12" t="inlineStr">
        <is>
          <t>Prometheus integration</t>
        </is>
      </c>
      <c r="E103" s="12" t="inlineStr">
        <is>
          <t>Not Started</t>
        </is>
      </c>
      <c r="F103" s="12" t="inlineStr">
        <is>
          <t>Low</t>
        </is>
      </c>
      <c r="G103" s="12" t="str"/>
      <c r="H103" s="30" t="n"/>
      <c r="I103" s="12" t="inlineStr">
        <is>
          <t>Future phase.</t>
        </is>
      </c>
    </row>
    <row r="104">
      <c r="A104" s="12" t="n">
        <v>103</v>
      </c>
      <c r="B104" s="12" t="inlineStr">
        <is>
          <t>Phase 11</t>
        </is>
      </c>
      <c r="C104" s="12" t="inlineStr">
        <is>
          <t>Additional MCP Sources</t>
        </is>
      </c>
      <c r="D104" s="12" t="inlineStr">
        <is>
          <t>Grafana integration</t>
        </is>
      </c>
      <c r="E104" s="12" t="inlineStr">
        <is>
          <t>Not Started</t>
        </is>
      </c>
      <c r="F104" s="12" t="inlineStr">
        <is>
          <t>Low</t>
        </is>
      </c>
      <c r="G104" s="12" t="str"/>
      <c r="H104" s="30" t="n"/>
      <c r="I104" s="12" t="inlineStr">
        <is>
          <t>Future phase.</t>
        </is>
      </c>
    </row>
    <row r="105">
      <c r="A105" s="12" t="n">
        <v>104</v>
      </c>
      <c r="B105" s="12" t="inlineStr">
        <is>
          <t>Phase 11</t>
        </is>
      </c>
      <c r="C105" s="12" t="inlineStr">
        <is>
          <t>Additional MCP Sources</t>
        </is>
      </c>
      <c r="D105" s="12" t="inlineStr">
        <is>
          <t>Elastic / Elasticsearch integration</t>
        </is>
      </c>
      <c r="E105" s="12" t="inlineStr">
        <is>
          <t>Not Started</t>
        </is>
      </c>
      <c r="F105" s="12" t="inlineStr">
        <is>
          <t>Low</t>
        </is>
      </c>
      <c r="G105" s="12" t="str"/>
      <c r="H105" s="30" t="n"/>
      <c r="I105" s="12" t="inlineStr">
        <is>
          <t>Future phase.</t>
        </is>
      </c>
    </row>
    <row r="106">
      <c r="A106" s="12" t="n">
        <v>105</v>
      </c>
      <c r="B106" s="12" t="inlineStr">
        <is>
          <t>Phase 11</t>
        </is>
      </c>
      <c r="C106" s="12" t="inlineStr">
        <is>
          <t>Additional MCP Sources</t>
        </is>
      </c>
      <c r="D106" s="12" t="inlineStr">
        <is>
          <t>Cloud Logging integration</t>
        </is>
      </c>
      <c r="E106" s="12" t="inlineStr">
        <is>
          <t>Not Started</t>
        </is>
      </c>
      <c r="F106" s="12" t="inlineStr">
        <is>
          <t>Medium</t>
        </is>
      </c>
      <c r="G106" s="12" t="str"/>
      <c r="H106" s="30" t="n"/>
      <c r="I106" s="12" t="inlineStr">
        <is>
          <t>Future evidence source.</t>
        </is>
      </c>
    </row>
    <row r="107">
      <c r="A107" s="12" t="n">
        <v>106</v>
      </c>
      <c r="B107" s="12" t="inlineStr">
        <is>
          <t>Phase 11</t>
        </is>
      </c>
      <c r="C107" s="12" t="inlineStr">
        <is>
          <t>Additional MCP Sources</t>
        </is>
      </c>
      <c r="D107" s="12" t="inlineStr">
        <is>
          <t>Confluence/runbook integration</t>
        </is>
      </c>
      <c r="E107" s="12" t="inlineStr">
        <is>
          <t>Not Started</t>
        </is>
      </c>
      <c r="F107" s="12" t="inlineStr">
        <is>
          <t>Low</t>
        </is>
      </c>
      <c r="G107" s="12" t="str"/>
      <c r="H107" s="30" t="n"/>
      <c r="I107" s="12" t="inlineStr">
        <is>
          <t>Future phase.</t>
        </is>
      </c>
    </row>
    <row r="108">
      <c r="A108" s="12" t="n">
        <v>107</v>
      </c>
      <c r="B108" s="12" t="inlineStr">
        <is>
          <t>Phase 11</t>
        </is>
      </c>
      <c r="C108" s="12" t="inlineStr">
        <is>
          <t>Additional MCP Sources</t>
        </is>
      </c>
      <c r="D108" s="12" t="inlineStr">
        <is>
          <t>GitHub integration</t>
        </is>
      </c>
      <c r="E108" s="12" t="inlineStr">
        <is>
          <t>Not Started</t>
        </is>
      </c>
      <c r="F108" s="12" t="inlineStr">
        <is>
          <t>Low</t>
        </is>
      </c>
      <c r="G108" s="12" t="str"/>
      <c r="H108" s="30" t="n"/>
      <c r="I108" s="12" t="inlineStr">
        <is>
          <t>Future phase.</t>
        </is>
      </c>
    </row>
    <row r="109">
      <c r="A109" s="12" t="n">
        <v>108</v>
      </c>
      <c r="B109" s="12" t="inlineStr">
        <is>
          <t>Phase 11</t>
        </is>
      </c>
      <c r="C109" s="12" t="inlineStr">
        <is>
          <t>Additional MCP Sources</t>
        </is>
      </c>
      <c r="D109" s="12" t="inlineStr">
        <is>
          <t>Normalized traceable evidence for every source</t>
        </is>
      </c>
      <c r="E109" s="12" t="inlineStr">
        <is>
          <t>Not Started</t>
        </is>
      </c>
      <c r="F109" s="12" t="inlineStr">
        <is>
          <t>High</t>
        </is>
      </c>
      <c r="G109" s="12" t="str"/>
      <c r="H109" s="30" t="n"/>
      <c r="I109" s="12" t="inlineStr">
        <is>
          <t>Depends on MCP abstraction.</t>
        </is>
      </c>
    </row>
    <row r="110">
      <c r="A110" s="12" t="n">
        <v>109</v>
      </c>
      <c r="B110" s="12" t="inlineStr">
        <is>
          <t>Phase 12</t>
        </is>
      </c>
      <c r="C110" s="12" t="inlineStr">
        <is>
          <t>On-Premises Kubernetes</t>
        </is>
      </c>
      <c r="D110" s="12" t="inlineStr">
        <is>
          <t>Validate Fleet / Connect Gateway concept</t>
        </is>
      </c>
      <c r="E110" s="12" t="inlineStr">
        <is>
          <t>In Progress</t>
        </is>
      </c>
      <c r="F110" s="12" t="inlineStr">
        <is>
          <t>High</t>
        </is>
      </c>
      <c r="G110" s="12" t="str"/>
      <c r="H110" s="30" t="n"/>
      <c r="I110" s="12" t="inlineStr">
        <is>
          <t>Manual prototype/concept work exists.</t>
        </is>
      </c>
    </row>
    <row r="111">
      <c r="A111" s="12" t="n">
        <v>110</v>
      </c>
      <c r="B111" s="12" t="inlineStr">
        <is>
          <t>Phase 12</t>
        </is>
      </c>
      <c r="C111" s="12" t="inlineStr">
        <is>
          <t>On-Premises Kubernetes</t>
        </is>
      </c>
      <c r="D111" s="12" t="inlineStr">
        <is>
          <t>Custom MCP → Connect Gateway production path</t>
        </is>
      </c>
      <c r="E111" s="12" t="inlineStr">
        <is>
          <t>Not Started</t>
        </is>
      </c>
      <c r="F111" s="12" t="inlineStr">
        <is>
          <t>Critical</t>
        </is>
      </c>
      <c r="G111" s="12" t="str"/>
      <c r="H111" s="30" t="n"/>
      <c r="I111" s="12" t="inlineStr">
        <is>
          <t>Production path not proven.</t>
        </is>
      </c>
    </row>
    <row r="112">
      <c r="A112" s="12" t="n">
        <v>111</v>
      </c>
      <c r="B112" s="12" t="inlineStr">
        <is>
          <t>Phase 12</t>
        </is>
      </c>
      <c r="C112" s="12" t="inlineStr">
        <is>
          <t>On-Premises Kubernetes</t>
        </is>
      </c>
      <c r="D112" s="12" t="inlineStr">
        <is>
          <t>Validate supported agent-authentication model</t>
        </is>
      </c>
      <c r="E112" s="12" t="inlineStr">
        <is>
          <t>Not Started</t>
        </is>
      </c>
      <c r="F112" s="12" t="inlineStr">
        <is>
          <t>High</t>
        </is>
      </c>
      <c r="G112" s="12" t="str"/>
      <c r="H112" s="30" t="n"/>
      <c r="I112" s="12" t="inlineStr">
        <is>
          <t>Need short-lived supported auth.</t>
        </is>
      </c>
    </row>
    <row r="113">
      <c r="A113" s="12" t="n">
        <v>112</v>
      </c>
      <c r="B113" s="12" t="inlineStr">
        <is>
          <t>Phase 12</t>
        </is>
      </c>
      <c r="C113" s="12" t="inlineStr">
        <is>
          <t>On-Premises Kubernetes</t>
        </is>
      </c>
      <c r="D113" s="12" t="inlineStr">
        <is>
          <t>Validate IAM and Kubernetes RBAC</t>
        </is>
      </c>
      <c r="E113" s="12" t="inlineStr">
        <is>
          <t>Not Started</t>
        </is>
      </c>
      <c r="F113" s="12" t="inlineStr">
        <is>
          <t>Critical</t>
        </is>
      </c>
      <c r="G113" s="12" t="str"/>
      <c r="H113" s="30" t="n"/>
      <c r="I113" s="12" t="inlineStr">
        <is>
          <t>Production security requirement.</t>
        </is>
      </c>
    </row>
    <row r="114">
      <c r="A114" s="12" t="n">
        <v>113</v>
      </c>
      <c r="B114" s="12" t="inlineStr">
        <is>
          <t>Phase 12</t>
        </is>
      </c>
      <c r="C114" s="12" t="inlineStr">
        <is>
          <t>On-Premises Kubernetes</t>
        </is>
      </c>
      <c r="D114" s="12" t="inlineStr">
        <is>
          <t>Test read-only access to real on-prem cluster</t>
        </is>
      </c>
      <c r="E114" s="12" t="inlineStr">
        <is>
          <t>Not Started</t>
        </is>
      </c>
      <c r="F114" s="12" t="inlineStr">
        <is>
          <t>High</t>
        </is>
      </c>
      <c r="G114" s="12" t="str"/>
      <c r="H114" s="30" t="n"/>
      <c r="I114" s="12" t="inlineStr">
        <is>
          <t>Prototype is not production validation.</t>
        </is>
      </c>
    </row>
    <row r="115">
      <c r="A115" s="12" t="n">
        <v>114</v>
      </c>
      <c r="B115" s="12" t="inlineStr">
        <is>
          <t>Phase 12</t>
        </is>
      </c>
      <c r="C115" s="12" t="inlineStr">
        <is>
          <t>On-Premises Kubernetes</t>
        </is>
      </c>
      <c r="D115" s="12" t="inlineStr">
        <is>
          <t>Review audit logs, latency, quotas and isolation</t>
        </is>
      </c>
      <c r="E115" s="12" t="inlineStr">
        <is>
          <t>Not Started</t>
        </is>
      </c>
      <c r="F115" s="12" t="inlineStr">
        <is>
          <t>High</t>
        </is>
      </c>
      <c r="G115" s="12" t="str"/>
      <c r="H115" s="30" t="n"/>
      <c r="I115" s="12" t="inlineStr">
        <is>
          <t>Reliability requirement.</t>
        </is>
      </c>
    </row>
    <row r="116">
      <c r="A116" s="12" t="n">
        <v>115</v>
      </c>
      <c r="B116" s="12" t="inlineStr">
        <is>
          <t>Phase 12</t>
        </is>
      </c>
      <c r="C116" s="12" t="inlineStr">
        <is>
          <t>On-Premises Kubernetes</t>
        </is>
      </c>
      <c r="D116" s="12" t="inlineStr">
        <is>
          <t>Document onboarding/removal runbook</t>
        </is>
      </c>
      <c r="E116" s="12" t="inlineStr">
        <is>
          <t>Not Started</t>
        </is>
      </c>
      <c r="F116" s="12" t="inlineStr">
        <is>
          <t>Medium</t>
        </is>
      </c>
      <c r="G116" s="12" t="str"/>
      <c r="H116" s="30" t="n"/>
      <c r="I116" s="12" t="inlineStr">
        <is>
          <t>After path validation.</t>
        </is>
      </c>
    </row>
    <row r="117">
      <c r="A117" s="12" t="n">
        <v>116</v>
      </c>
      <c r="B117" s="12" t="inlineStr">
        <is>
          <t>Phase 13</t>
        </is>
      </c>
      <c r="C117" s="12" t="inlineStr">
        <is>
          <t>Security &amp; Supply Chain</t>
        </is>
      </c>
      <c r="D117" s="12" t="inlineStr">
        <is>
          <t>Agent Identity / no static service-account keys</t>
        </is>
      </c>
      <c r="E117" s="12" t="inlineStr">
        <is>
          <t>Completed</t>
        </is>
      </c>
      <c r="F117" s="12" t="inlineStr">
        <is>
          <t>Critical</t>
        </is>
      </c>
      <c r="G117" s="12" t="str"/>
      <c r="H117" s="30" t="n"/>
      <c r="I117" s="12" t="inlineStr">
        <is>
          <t>Implemented.</t>
        </is>
      </c>
    </row>
    <row r="118">
      <c r="A118" s="12" t="n">
        <v>117</v>
      </c>
      <c r="B118" s="12" t="inlineStr">
        <is>
          <t>Phase 13</t>
        </is>
      </c>
      <c r="C118" s="12" t="inlineStr">
        <is>
          <t>Security &amp; Supply Chain</t>
        </is>
      </c>
      <c r="D118" s="12" t="inlineStr">
        <is>
          <t>Read-only Kubernetes tooling</t>
        </is>
      </c>
      <c r="E118" s="12" t="inlineStr">
        <is>
          <t>Completed</t>
        </is>
      </c>
      <c r="F118" s="12" t="inlineStr">
        <is>
          <t>Critical</t>
        </is>
      </c>
      <c r="G118" s="12" t="str"/>
      <c r="H118" s="30" t="n"/>
      <c r="I118" s="12" t="inlineStr">
        <is>
          <t>Implemented.</t>
        </is>
      </c>
    </row>
    <row r="119">
      <c r="A119" s="12" t="n">
        <v>118</v>
      </c>
      <c r="B119" s="12" t="inlineStr">
        <is>
          <t>Phase 13</t>
        </is>
      </c>
      <c r="C119" s="12" t="inlineStr">
        <is>
          <t>Security &amp; Supply Chain</t>
        </is>
      </c>
      <c r="D119" s="12" t="inlineStr">
        <is>
          <t>Complete final IAM review</t>
        </is>
      </c>
      <c r="E119" s="12" t="inlineStr">
        <is>
          <t>In Progress</t>
        </is>
      </c>
      <c r="F119" s="12" t="inlineStr">
        <is>
          <t>Critical</t>
        </is>
      </c>
      <c r="G119" s="12" t="str"/>
      <c r="H119" s="30" t="n"/>
      <c r="I119" s="12" t="inlineStr">
        <is>
          <t>Cross-project/least-privilege review remains.</t>
        </is>
      </c>
    </row>
    <row r="120">
      <c r="A120" s="12" t="n">
        <v>119</v>
      </c>
      <c r="B120" s="12" t="inlineStr">
        <is>
          <t>Phase 13</t>
        </is>
      </c>
      <c r="C120" s="12" t="inlineStr">
        <is>
          <t>Security &amp; Supply Chain</t>
        </is>
      </c>
      <c r="D120" s="12" t="inlineStr">
        <is>
          <t>Kubernetes RBAC scoping</t>
        </is>
      </c>
      <c r="E120" s="12" t="inlineStr">
        <is>
          <t>In Progress</t>
        </is>
      </c>
      <c r="F120" s="12" t="inlineStr">
        <is>
          <t>Critical</t>
        </is>
      </c>
      <c r="G120" s="12" t="str"/>
      <c r="H120" s="30" t="n"/>
      <c r="I120" s="12" t="inlineStr">
        <is>
          <t>Needs production validation.</t>
        </is>
      </c>
    </row>
    <row r="121">
      <c r="A121" s="12" t="n">
        <v>120</v>
      </c>
      <c r="B121" s="12" t="inlineStr">
        <is>
          <t>Phase 13</t>
        </is>
      </c>
      <c r="C121" s="12" t="inlineStr">
        <is>
          <t>Security &amp; Supply Chain</t>
        </is>
      </c>
      <c r="D121" s="12" t="inlineStr">
        <is>
          <t>MCP authentication and authorization review</t>
        </is>
      </c>
      <c r="E121" s="12" t="inlineStr">
        <is>
          <t>In Progress</t>
        </is>
      </c>
      <c r="F121" s="12" t="inlineStr">
        <is>
          <t>High</t>
        </is>
      </c>
      <c r="G121" s="12" t="str"/>
      <c r="H121" s="30" t="n"/>
      <c r="I121" s="12" t="inlineStr">
        <is>
          <t>Needed before adding sources.</t>
        </is>
      </c>
    </row>
    <row r="122">
      <c r="A122" s="12" t="n">
        <v>121</v>
      </c>
      <c r="B122" s="12" t="inlineStr">
        <is>
          <t>Phase 13</t>
        </is>
      </c>
      <c r="C122" s="12" t="inlineStr">
        <is>
          <t>Security &amp; Supply Chain</t>
        </is>
      </c>
      <c r="D122" s="12" t="inlineStr">
        <is>
          <t>Agent Gateway security validation</t>
        </is>
      </c>
      <c r="E122" s="12" t="inlineStr">
        <is>
          <t>In Progress</t>
        </is>
      </c>
      <c r="F122" s="12" t="inlineStr">
        <is>
          <t>High</t>
        </is>
      </c>
      <c r="G122" s="12" t="str"/>
      <c r="H122" s="30" t="n"/>
      <c r="I122" s="12" t="inlineStr">
        <is>
          <t>Final production review.</t>
        </is>
      </c>
    </row>
    <row r="123">
      <c r="A123" s="12" t="n">
        <v>122</v>
      </c>
      <c r="B123" s="12" t="inlineStr">
        <is>
          <t>Phase 13</t>
        </is>
      </c>
      <c r="C123" s="12" t="inlineStr">
        <is>
          <t>Security &amp; Supply Chain</t>
        </is>
      </c>
      <c r="D123" s="12" t="inlineStr">
        <is>
          <t>Model Armor controlled validation</t>
        </is>
      </c>
      <c r="E123" s="12" t="inlineStr">
        <is>
          <t>In Progress</t>
        </is>
      </c>
      <c r="F123" s="12" t="inlineStr">
        <is>
          <t>High</t>
        </is>
      </c>
      <c r="G123" s="12" t="str"/>
      <c r="H123" s="30" t="n"/>
      <c r="I123" s="12" t="inlineStr">
        <is>
          <t>Not active in live path.</t>
        </is>
      </c>
    </row>
    <row r="124">
      <c r="A124" s="12" t="n">
        <v>123</v>
      </c>
      <c r="B124" s="12" t="inlineStr">
        <is>
          <t>Phase 13</t>
        </is>
      </c>
      <c r="C124" s="12" t="inlineStr">
        <is>
          <t>Security &amp; Supply Chain</t>
        </is>
      </c>
      <c r="D124" s="12" t="inlineStr">
        <is>
          <t>Supply-chain and CI hardening</t>
        </is>
      </c>
      <c r="E124" s="12" t="inlineStr">
        <is>
          <t>In Progress</t>
        </is>
      </c>
      <c r="F124" s="12" t="inlineStr">
        <is>
          <t>Medium</t>
        </is>
      </c>
      <c r="G124" s="12" t="str"/>
      <c r="H124" s="30" t="n"/>
      <c r="I124" s="12" t="inlineStr">
        <is>
          <t>Pinning/CI/container hardening remain.</t>
        </is>
      </c>
    </row>
    <row r="125">
      <c r="A125" s="12" t="n">
        <v>124</v>
      </c>
      <c r="B125" s="12" t="inlineStr">
        <is>
          <t>Phase 13</t>
        </is>
      </c>
      <c r="C125" s="12" t="inlineStr">
        <is>
          <t>Security &amp; Supply Chain</t>
        </is>
      </c>
      <c r="D125" s="12" t="inlineStr">
        <is>
          <t>VPC-SC / additional network hardening</t>
        </is>
      </c>
      <c r="E125" s="12" t="inlineStr">
        <is>
          <t>Deferred</t>
        </is>
      </c>
      <c r="F125" s="12" t="inlineStr">
        <is>
          <t>Low</t>
        </is>
      </c>
      <c r="G125" s="12" t="str"/>
      <c r="H125" s="30" t="n"/>
      <c r="I125" s="12" t="inlineStr">
        <is>
          <t>Phase 2 unless required earlier.</t>
        </is>
      </c>
    </row>
    <row r="126">
      <c r="A126" s="12" t="n">
        <v>125</v>
      </c>
      <c r="B126" s="12" t="inlineStr">
        <is>
          <t>Phase 14</t>
        </is>
      </c>
      <c r="C126" s="12" t="inlineStr">
        <is>
          <t>ADK Migration Assessment</t>
        </is>
      </c>
      <c r="D126" s="12" t="inlineStr">
        <is>
          <t>ADK architecture comparison</t>
        </is>
      </c>
      <c r="E126" s="12" t="inlineStr">
        <is>
          <t>Deferred</t>
        </is>
      </c>
      <c r="F126" s="12" t="inlineStr">
        <is>
          <t>Low</t>
        </is>
      </c>
      <c r="G126" s="12" t="str"/>
      <c r="H126" s="30" t="n"/>
      <c r="I126" s="12" t="inlineStr">
        <is>
          <t>Do not disrupt working LangGraph path during Phase 1.</t>
        </is>
      </c>
    </row>
    <row r="127">
      <c r="A127" s="12" t="n">
        <v>126</v>
      </c>
      <c r="B127" s="12" t="inlineStr">
        <is>
          <t>Phase 14</t>
        </is>
      </c>
      <c r="C127" s="12" t="inlineStr">
        <is>
          <t>ADK Migration Assessment</t>
        </is>
      </c>
      <c r="D127" s="12" t="inlineStr">
        <is>
          <t>ADK proof of concept and parity evaluation</t>
        </is>
      </c>
      <c r="E127" s="12" t="inlineStr">
        <is>
          <t>Deferred</t>
        </is>
      </c>
      <c r="F127" s="12" t="inlineStr">
        <is>
          <t>Low</t>
        </is>
      </c>
      <c r="G127" s="12" t="str"/>
      <c r="H127" s="30" t="n"/>
      <c r="I127" s="12" t="inlineStr">
        <is>
          <t>Phase 2.</t>
        </is>
      </c>
    </row>
    <row r="128">
      <c r="A128" s="12" t="n">
        <v>127</v>
      </c>
      <c r="B128" s="12" t="inlineStr">
        <is>
          <t>Phase 14</t>
        </is>
      </c>
      <c r="C128" s="12" t="inlineStr">
        <is>
          <t>ADK Migration Assessment</t>
        </is>
      </c>
      <c r="D128" s="12" t="inlineStr">
        <is>
          <t>Migration decision</t>
        </is>
      </c>
      <c r="E128" s="12" t="inlineStr">
        <is>
          <t>Deferred</t>
        </is>
      </c>
      <c r="F128" s="12" t="inlineStr">
        <is>
          <t>Low</t>
        </is>
      </c>
      <c r="G128" s="12" t="str"/>
      <c r="H128" s="30" t="n"/>
      <c r="I128" s="12" t="inlineStr">
        <is>
          <t>After MVP is stable.</t>
        </is>
      </c>
    </row>
    <row r="129">
      <c r="A129" s="12" t="n">
        <v>128</v>
      </c>
      <c r="B129" s="12" t="inlineStr">
        <is>
          <t>Final</t>
        </is>
      </c>
      <c r="C129" s="12" t="inlineStr">
        <is>
          <t>Final Production Approval</t>
        </is>
      </c>
      <c r="D129" s="12" t="inlineStr">
        <is>
          <t>Final architecture review</t>
        </is>
      </c>
      <c r="E129" s="12" t="inlineStr">
        <is>
          <t>Not Started</t>
        </is>
      </c>
      <c r="F129" s="12" t="inlineStr">
        <is>
          <t>Critical</t>
        </is>
      </c>
      <c r="G129" s="12" t="str"/>
      <c r="H129" s="30" t="n"/>
      <c r="I129" s="12" t="inlineStr">
        <is>
          <t>Production gate.</t>
        </is>
      </c>
    </row>
    <row r="130">
      <c r="A130" s="12" t="n">
        <v>129</v>
      </c>
      <c r="B130" s="12" t="inlineStr">
        <is>
          <t>Final</t>
        </is>
      </c>
      <c r="C130" s="12" t="inlineStr">
        <is>
          <t>Final Production Approval</t>
        </is>
      </c>
      <c r="D130" s="12" t="inlineStr">
        <is>
          <t>Final security review</t>
        </is>
      </c>
      <c r="E130" s="12" t="inlineStr">
        <is>
          <t>Not Started</t>
        </is>
      </c>
      <c r="F130" s="12" t="inlineStr">
        <is>
          <t>Critical</t>
        </is>
      </c>
      <c r="G130" s="12" t="str"/>
      <c r="H130" s="30" t="n"/>
      <c r="I130" s="12" t="inlineStr">
        <is>
          <t>Production gate.</t>
        </is>
      </c>
    </row>
    <row r="131">
      <c r="A131" s="12" t="n">
        <v>130</v>
      </c>
      <c r="B131" s="12" t="inlineStr">
        <is>
          <t>Final</t>
        </is>
      </c>
      <c r="C131" s="12" t="inlineStr">
        <is>
          <t>Final Production Approval</t>
        </is>
      </c>
      <c r="D131" s="12" t="inlineStr">
        <is>
          <t>Final IAM review</t>
        </is>
      </c>
      <c r="E131" s="12" t="inlineStr">
        <is>
          <t>Not Started</t>
        </is>
      </c>
      <c r="F131" s="12" t="inlineStr">
        <is>
          <t>Critical</t>
        </is>
      </c>
      <c r="G131" s="12" t="str"/>
      <c r="H131" s="30" t="n"/>
      <c r="I131" s="12" t="inlineStr">
        <is>
          <t>Production gate.</t>
        </is>
      </c>
    </row>
    <row r="132">
      <c r="A132" s="12" t="n">
        <v>131</v>
      </c>
      <c r="B132" s="12" t="inlineStr">
        <is>
          <t>Final</t>
        </is>
      </c>
      <c r="C132" s="12" t="inlineStr">
        <is>
          <t>Final Production Approval</t>
        </is>
      </c>
      <c r="D132" s="12" t="inlineStr">
        <is>
          <t>Final Model Armor report/decision</t>
        </is>
      </c>
      <c r="E132" s="12" t="inlineStr">
        <is>
          <t>Not Started</t>
        </is>
      </c>
      <c r="F132" s="12" t="inlineStr">
        <is>
          <t>High</t>
        </is>
      </c>
      <c r="G132" s="12" t="str"/>
      <c r="H132" s="30" t="n"/>
      <c r="I132" s="12" t="inlineStr">
        <is>
          <t>Production gate.</t>
        </is>
      </c>
    </row>
    <row r="133">
      <c r="A133" s="12" t="n">
        <v>132</v>
      </c>
      <c r="B133" s="12" t="inlineStr">
        <is>
          <t>Final</t>
        </is>
      </c>
      <c r="C133" s="12" t="inlineStr">
        <is>
          <t>Final Production Approval</t>
        </is>
      </c>
      <c r="D133" s="12" t="inlineStr">
        <is>
          <t>Final RCA accuracy and confidence evaluation</t>
        </is>
      </c>
      <c r="E133" s="12" t="inlineStr">
        <is>
          <t>Not Started</t>
        </is>
      </c>
      <c r="F133" s="12" t="inlineStr">
        <is>
          <t>Critical</t>
        </is>
      </c>
      <c r="G133" s="12" t="str"/>
      <c r="H133" s="30" t="n"/>
      <c r="I133" s="12" t="inlineStr">
        <is>
          <t>Production gate.</t>
        </is>
      </c>
    </row>
    <row r="134">
      <c r="A134" s="12" t="n">
        <v>133</v>
      </c>
      <c r="B134" s="12" t="inlineStr">
        <is>
          <t>Final</t>
        </is>
      </c>
      <c r="C134" s="12" t="inlineStr">
        <is>
          <t>Final Production Approval</t>
        </is>
      </c>
      <c r="D134" s="12" t="inlineStr">
        <is>
          <t>Monitoring and alert-delivery validation</t>
        </is>
      </c>
      <c r="E134" s="12" t="inlineStr">
        <is>
          <t>Not Started</t>
        </is>
      </c>
      <c r="F134" s="12" t="inlineStr">
        <is>
          <t>Critical</t>
        </is>
      </c>
      <c r="G134" s="12" t="str"/>
      <c r="H134" s="30" t="n"/>
      <c r="I134" s="12" t="inlineStr">
        <is>
          <t>Production gate.</t>
        </is>
      </c>
    </row>
    <row r="135">
      <c r="A135" s="12" t="n">
        <v>134</v>
      </c>
      <c r="B135" s="12" t="inlineStr">
        <is>
          <t>Final</t>
        </is>
      </c>
      <c r="C135" s="12" t="inlineStr">
        <is>
          <t>Final Production Approval</t>
        </is>
      </c>
      <c r="D135" s="12" t="inlineStr">
        <is>
          <t>Rollback and recovery testing</t>
        </is>
      </c>
      <c r="E135" s="12" t="inlineStr">
        <is>
          <t>Not Started</t>
        </is>
      </c>
      <c r="F135" s="12" t="inlineStr">
        <is>
          <t>Critical</t>
        </is>
      </c>
      <c r="G135" s="12" t="str"/>
      <c r="H135" s="30" t="n"/>
      <c r="I135" s="12" t="inlineStr">
        <is>
          <t>Production gate.</t>
        </is>
      </c>
    </row>
    <row r="136">
      <c r="A136" s="12" t="n">
        <v>135</v>
      </c>
      <c r="B136" s="12" t="inlineStr">
        <is>
          <t>Final</t>
        </is>
      </c>
      <c r="C136" s="12" t="inlineStr">
        <is>
          <t>Final Production Approval</t>
        </is>
      </c>
      <c r="D136" s="12" t="inlineStr">
        <is>
          <t>Document known limitations and accepted risks</t>
        </is>
      </c>
      <c r="E136" s="12" t="inlineStr">
        <is>
          <t>Not Started</t>
        </is>
      </c>
      <c r="F136" s="12" t="inlineStr">
        <is>
          <t>High</t>
        </is>
      </c>
      <c r="G136" s="12" t="str"/>
      <c r="H136" s="30" t="n"/>
      <c r="I136" s="12" t="inlineStr">
        <is>
          <t>Production gate.</t>
        </is>
      </c>
    </row>
    <row r="137">
      <c r="A137" s="12" t="n">
        <v>136</v>
      </c>
      <c r="B137" s="12" t="inlineStr">
        <is>
          <t>Final</t>
        </is>
      </c>
      <c r="C137" s="12" t="inlineStr">
        <is>
          <t>Final Production Approval</t>
        </is>
      </c>
      <c r="D137" s="12" t="inlineStr">
        <is>
          <t>Human approval before production rollout</t>
        </is>
      </c>
      <c r="E137" s="12" t="inlineStr">
        <is>
          <t>Not Started</t>
        </is>
      </c>
      <c r="F137" s="12" t="inlineStr">
        <is>
          <t>Critical</t>
        </is>
      </c>
      <c r="G137" s="12" t="str"/>
      <c r="H137" s="30" t="n"/>
      <c r="I137" s="12" t="inlineStr">
        <is>
          <t>Required by design.</t>
        </is>
      </c>
    </row>
    <row r="138">
      <c r="A138" t="n">
        <v>137</v>
      </c>
      <c r="B138" t="inlineStr">
        <is>
          <t>Phase 1</t>
        </is>
      </c>
      <c r="C138" t="inlineStr">
        <is>
          <t>Production Readiness</t>
        </is>
      </c>
      <c r="D138" t="inlineStr">
        <is>
          <t>Issue #31: SSE parser can silently return an empty first frame as success -- workflow/output correctness risk</t>
        </is>
      </c>
      <c r="E138" t="inlineStr">
        <is>
          <t>Completed</t>
        </is>
      </c>
      <c r="F138" t="inlineStr">
        <is>
          <t>High</t>
        </is>
      </c>
      <c r="I138" t="inlineStr">
        <is>
          <t>Fixed and deployed 2026-08-12 (PR #111, commit d4646d7). 6 new tests, full suite 153/153. Deploy confirmed update-in-place. Live regression evidence via CI smoke test (real MCP round-trip, mcp_latency_s=3.49, SMOKE TEST PASSED) plus a manual live run whose 3 MCP calls all succeeded before an unrelated timeout. Issue #31 closed.</t>
        </is>
      </c>
    </row>
    <row r="139">
      <c r="A139" t="n">
        <v>138</v>
      </c>
      <c r="B139" t="inlineStr">
        <is>
          <t>Phase 1</t>
        </is>
      </c>
      <c r="C139" t="inlineStr">
        <is>
          <t>Production Readiness</t>
        </is>
      </c>
      <c r="D139" t="inlineStr">
        <is>
          <t>Issue #87: Terraform gateway self-heal can auto-recreate the production Reasoning Engine unattended -- infrastructure/deployment safety risk</t>
        </is>
      </c>
      <c r="E139" t="inlineStr">
        <is>
          <t>Completed</t>
        </is>
      </c>
      <c r="F139" t="inlineStr">
        <is>
          <t>High</t>
        </is>
      </c>
      <c r="I139" t="inlineStr">
        <is>
          <t>Correction 2026-08-12: user caught that this was already fixed. The self-heal -replace= auto-recreate step this issue described was removed the day after filing (2026-08-10, PR #93) as a side effect of an unrelated migration -- gateway attach moved to native Terraform management. Confirmed via repo-wide grep: no -replace= or self-heal pattern exists anywhere. Issue #87 closed with evidence. Never actually required implementation work.</t>
        </is>
      </c>
    </row>
    <row r="140">
      <c r="A140" t="n">
        <v>139</v>
      </c>
      <c r="B140" t="inlineStr">
        <is>
          <t>Phase 1</t>
        </is>
      </c>
      <c r="C140" t="inlineStr">
        <is>
          <t>Production Readiness</t>
        </is>
      </c>
      <c r="D140" t="inlineStr">
        <is>
          <t>Issue #64: google_billing_budget shown in architecture docs is not provisioned in Terraform</t>
        </is>
      </c>
      <c r="E140" t="inlineStr">
        <is>
          <t>Completed</t>
        </is>
      </c>
      <c r="F140" t="inlineStr">
        <is>
          <t>Low</t>
        </is>
      </c>
      <c r="I140" t="inlineStr">
        <is>
          <t>Closed 2026-08-12, no code change needed -- docs/governance/cost-management.md (verified 2026-08-08) already correctly states cost tooling is PLANNED, never claimed an automated budget alert exists. Confirmed no google_billing_budget resource anywhere in iac/. Real automated budget alerting deferred as a separate future decision (financial/IAM scope), not bundled here.</t>
        </is>
      </c>
    </row>
    <row r="141">
      <c r="A141" t="n">
        <v>140</v>
      </c>
      <c r="B141" t="inlineStr">
        <is>
          <t>Phase 1</t>
        </is>
      </c>
      <c r="C141" t="inlineStr">
        <is>
          <t>Production Readiness</t>
        </is>
      </c>
      <c r="D141" t="inlineStr">
        <is>
          <t>Issue #92: Agent has no pod-log-read permission on the target GKE cluster -- logs unavailable for every incident</t>
        </is>
      </c>
      <c r="E141" t="inlineStr">
        <is>
          <t>Completed</t>
        </is>
      </c>
      <c r="F141" t="inlineStr">
        <is>
          <t>P0-quick-fix</t>
        </is>
      </c>
      <c r="I141" t="inlineStr">
        <is>
          <t>Corrected + live-validated 2026-08-12. Real root cause was NOT a missing IAM permission -- a K8s-native RoleBinding already existed on the cluster (applied 2026-07-28) but was bound to a stale reasoning-engine ID from before a redeploy. Fixed by updating the RoleBinding subject to the current engine ID, checked into k8s/rbac.yaml (PR #121), applied live. Verified: kubectl auth can-i get pods/log --as=&lt;current engine&gt; now returns yes (was no). Reverted the earlier Cloud IAM custom-role approach (PR #118) as unnecessary duplicate infra -- never actually deployed. Full end-to-end agent test blocked by a separate CPUS_ALL_REGIONS=12 quota (cost guardrail on personal account, not raised) -- kubectl auth can-i accepted as sufficient live evidence per user confirmation.</t>
        </is>
      </c>
    </row>
    <row r="142">
      <c r="A142" t="n">
        <v>141</v>
      </c>
      <c r="B142" t="inlineStr">
        <is>
          <t>Phase 1</t>
        </is>
      </c>
      <c r="C142" t="inlineStr">
        <is>
          <t>Production Readiness</t>
        </is>
      </c>
      <c r="D142" t="inlineStr">
        <is>
          <t>Issue #67: resource_identity_match only checks cluster, ignoring namespace and pod</t>
        </is>
      </c>
      <c r="E142" t="inlineStr">
        <is>
          <t>Completed</t>
        </is>
      </c>
      <c r="F142" t="inlineStr">
        <is>
          <t>P1-small-fix</t>
        </is>
      </c>
      <c r="I142" t="inlineStr">
        <is>
          <t>Fixed 2026-08-12 (PR #125). resource_identity_match now checks namespace/pod via evidence resource_id field, not just cluster. 2 new regression tests, full suite 190/190 pass, deployed live via CI apply.</t>
        </is>
      </c>
    </row>
    <row r="143">
      <c r="A143" t="n">
        <v>142</v>
      </c>
      <c r="B143" t="inlineStr">
        <is>
          <t>Phase 1</t>
        </is>
      </c>
      <c r="C143" t="inlineStr">
        <is>
          <t>Production Readiness</t>
        </is>
      </c>
      <c r="D143" t="inlineStr">
        <is>
          <t>Issue #68: time_correlation and freshness scoring do not evaluate real evidence timestamps</t>
        </is>
      </c>
      <c r="E143" t="inlineStr">
        <is>
          <t>Completed</t>
        </is>
      </c>
      <c r="F143" t="inlineStr">
        <is>
          <t>P1-small-fix</t>
        </is>
      </c>
      <c r="I143" t="inlineStr">
        <is>
          <t>Fixed 2026-08-12 (PR #125). evidence_extractor.py now stamps real collected_at per evidence item; freshness/time_correlation use it instead of investigation-start proxy / flat binary. 4 new regression tests.</t>
        </is>
      </c>
    </row>
    <row r="144">
      <c r="A144" t="n">
        <v>143</v>
      </c>
      <c r="B144" t="inlineStr">
        <is>
          <t>Phase 1</t>
        </is>
      </c>
      <c r="C144" t="inlineStr">
        <is>
          <t>Production Readiness</t>
        </is>
      </c>
      <c r="D144" t="inlineStr">
        <is>
          <t>Issue #69: investigation loop can exit while required evidence domains are still missing</t>
        </is>
      </c>
      <c r="E144" t="inlineStr">
        <is>
          <t>Completed</t>
        </is>
      </c>
      <c r="F144" t="inlineStr">
        <is>
          <t>P1-small-fix</t>
        </is>
      </c>
      <c r="I144" t="inlineStr">
        <is>
          <t>Fixed 2026-08-12 (PR #125). Loop no longer exits on enough_evidence=True when missing_required_domains is non-empty and budget remains -- forces one more iteration. Real E2E proof cited in issue. 4 new regression tests.</t>
        </is>
      </c>
    </row>
    <row r="145">
      <c r="A145" t="n">
        <v>144</v>
      </c>
      <c r="B145" t="inlineStr">
        <is>
          <t>Phase 1</t>
        </is>
      </c>
      <c r="C145" t="inlineStr">
        <is>
          <t>Production Readiness</t>
        </is>
      </c>
      <c r="D145" t="inlineStr">
        <is>
          <t>Issue #70: agent does not act on its own generated next investigative step before concluding</t>
        </is>
      </c>
      <c r="E145" t="inlineStr">
        <is>
          <t>Completed</t>
        </is>
      </c>
      <c r="F145" t="inlineStr">
        <is>
          <t>P1-small-fix</t>
        </is>
      </c>
      <c r="I145" t="inlineStr">
        <is>
          <t>Partially fixed 2026-08-12 (PR #125) -- broaden-and-retry on NotFound added for list_k8s_events. Second half (force suggested tool call) covered by #69 fix instead (same root symptom, stronger mechanism). Issue auto-closed as a side effect of commit message wording -- see corrective comment on the issue. 6 new regression tests.</t>
        </is>
      </c>
    </row>
    <row r="146">
      <c r="A146" t="n">
        <v>145</v>
      </c>
      <c r="B146" t="inlineStr">
        <is>
          <t>Phase 1</t>
        </is>
      </c>
      <c r="C146" t="inlineStr">
        <is>
          <t>Production Readiness</t>
        </is>
      </c>
      <c r="D146" t="inlineStr">
        <is>
          <t>Issue #71: MCP fallback audit trail records the requested tool, not what actually executed</t>
        </is>
      </c>
      <c r="E146" t="inlineStr">
        <is>
          <t>Completed</t>
        </is>
      </c>
      <c r="F146" t="inlineStr">
        <is>
          <t>P1-small-fix</t>
        </is>
      </c>
      <c r="I146" t="inlineStr">
        <is>
          <t>Fixed 2026-08-12 (PR #125). tool_history/latest_tool_result now record call_tool()'s actual executed tool/mcp_source, not the pre-call request. 3 new regression tests.</t>
        </is>
      </c>
    </row>
    <row r="147">
      <c r="A147" t="n">
        <v>146</v>
      </c>
      <c r="B147" t="inlineStr">
        <is>
          <t>Phase 1</t>
        </is>
      </c>
      <c r="C147" t="inlineStr">
        <is>
          <t>Production Readiness</t>
        </is>
      </c>
      <c r="D147" t="inlineStr">
        <is>
          <t>Issue #72: MCP fallback does not trigger on network errors and has an invalid tool mapping</t>
        </is>
      </c>
      <c r="E147" t="inlineStr">
        <is>
          <t>Completed</t>
        </is>
      </c>
      <c r="F147" t="inlineStr">
        <is>
          <t>P1-small-fix</t>
        </is>
      </c>
      <c r="I147" t="inlineStr">
        <is>
          <t>Fixed 2026-08-12 (PR #125). Fallback now fires on network exceptions and empty responses too (not just non-200 status); removed 2 semantically-invalid tool mappings (get_k8s_cluster_info/list_k8s_api_resources -&gt; list_pods); pod_name only sent to fallback targets that accept it. 9 new regression tests.</t>
        </is>
      </c>
    </row>
    <row r="148">
      <c r="A148" t="n">
        <v>147</v>
      </c>
      <c r="B148" t="inlineStr">
        <is>
          <t>Phase 1</t>
        </is>
      </c>
      <c r="C148" t="inlineStr">
        <is>
          <t>Production Readiness</t>
        </is>
      </c>
      <c r="D148" t="inlineStr">
        <is>
          <t>Issue #74: Gemini token/cost/latency counters are process-global, not scoped per investigation</t>
        </is>
      </c>
      <c r="E148" t="inlineStr">
        <is>
          <t>Completed</t>
        </is>
      </c>
      <c r="F148" t="inlineStr">
        <is>
          <t>P1-small-fix</t>
        </is>
      </c>
      <c r="I148" t="inlineStr">
        <is>
          <t>Fixed 2026-08-12 (PR #127). GeminiAdapter is cached process-wide and reused across investigations -- added reset_session(), called at the start of every investigation in agent/main.py investigate(). 5 new regression tests, full suite 195/195 pass.</t>
        </is>
      </c>
    </row>
    <row r="149">
      <c r="A149" t="n">
        <v>148</v>
      </c>
      <c r="B149" t="inlineStr">
        <is>
          <t>Phase 1</t>
        </is>
      </c>
      <c r="C149" t="inlineStr">
        <is>
          <t>Production Readiness</t>
        </is>
      </c>
      <c r="D149" t="inlineStr">
        <is>
          <t>Issue #75: Duplicate completion log events not scoped by logName can double-count metrics</t>
        </is>
      </c>
      <c r="E149" t="inlineStr">
        <is>
          <t>Completed</t>
        </is>
      </c>
      <c r="F149" t="inlineStr">
        <is>
          <t>P1-small-fix</t>
        </is>
      </c>
      <c r="I149" t="inlineStr">
        <is>
          <t>Fixed 2026-08-12 (PR #127). 8 of 9 completion-related log-based metrics in monitoring.tf were double-counting (2 separate completion events share overlapping field names). Restricted to event_type="sre_agent_run", matching the #63 token_usage fix. 9 new terraform tests, terraform plan clean (8 metrics update in-place).</t>
        </is>
      </c>
    </row>
    <row r="150">
      <c r="A150" t="n">
        <v>149</v>
      </c>
      <c r="B150" t="inlineStr">
        <is>
          <t>Phase 1</t>
        </is>
      </c>
      <c r="C150" t="inlineStr">
        <is>
          <t>Production Readiness</t>
        </is>
      </c>
      <c r="D150" t="inlineStr">
        <is>
          <t>Issue #76: Full prompt/response content capture enabled in tracing at 100% sample rate</t>
        </is>
      </c>
      <c r="E150" t="inlineStr">
        <is>
          <t>Completed</t>
        </is>
      </c>
      <c r="F150" t="inlineStr">
        <is>
          <t>P1-small-fix</t>
        </is>
      </c>
      <c r="I150" t="inlineStr">
        <is>
          <t>Completed 2026-08-13 (PR #133). Corrected compliance review found 3 more real content-capture paths beyond the original flag: agent/main.py sre.query span attribute (raw query text), agent/otel.py trace_node() exception handling (record_exception/Status/sre.node.error all sent exception message text), and both spans defaulted to OTel start_as_current_span()'s record_exception=True (auto-captures exception message on re-raise, independent of explicit handling -- caught by this PR's own regression test failing on first run). All fixed: sre.query removed, only exception TYPE recorded (sre.node.error_type), record_exception=False/set_status_on_exception=False on both span-creation sites. 3 new Python tests (real in-process OTel TracerProvider + InMemorySpanExporter, unique secret marker proven absent from all span data) + 2 new terraform tests. Full suite 200/200, terraform test 25/25, terraform plan clean. Deployed, Agent Engine ID unchanged (7801582006105538560). Live-queried the real deployed resource directly (Vertex AI REST API, not just terraform state): OTEL_INSTRUMENTATION_GENAI_CAPTURE_MESSAGE_CONTENT=false, OTEL_TRACES_SAMPLER_ARG=1.0 confirmed. Does NOT claim working Cloud Trace was validated -- #130 (Cloud Trace export appears broken) is separate and stays open.</t>
        </is>
      </c>
    </row>
    <row r="151">
      <c r="A151" t="n">
        <v>151</v>
      </c>
      <c r="B151" t="inlineStr">
        <is>
          <t>Phase 1</t>
        </is>
      </c>
      <c r="C151" t="inlineStr">
        <is>
          <t>Production Readiness</t>
        </is>
      </c>
      <c r="D151" t="inlineStr">
        <is>
          <t>Issue #91: Evidence-domain coverage credits failed tool calls as if they succeeded</t>
        </is>
      </c>
      <c r="E151" t="inlineStr">
        <is>
          <t>Completed</t>
        </is>
      </c>
      <c r="F151" t="inlineStr">
        <is>
          <t>P0-quick-fix</t>
        </is>
      </c>
      <c r="I151" t="inlineStr">
        <is>
          <t>Fixed 2026-08-13 (PR #131, merged as part of a bundled branch -- see PR for note). _evidence_domains_present() now excludes ev.get("ok")==False entries, fixing both required_evidence_coverage and independent_corroboration. 2 new regression tests, full suite 197/197 pass. Deployed, Agent Engine ID unchanged (7801582006105538560).</t>
        </is>
      </c>
    </row>
    <row r="152">
      <c r="A152" t="n">
        <v>152</v>
      </c>
      <c r="B152" t="inlineStr">
        <is>
          <t>Phase 6</t>
        </is>
      </c>
      <c r="C152" t="inlineStr">
        <is>
          <t>Observability &amp; Reliability</t>
        </is>
      </c>
      <c r="D152" t="inlineStr">
        <is>
          <t>Fix persistent Cloud Logging observability-write 403 (rca_builder.py)</t>
        </is>
      </c>
      <c r="E152" t="inlineStr">
        <is>
          <t>Not Started</t>
        </is>
      </c>
      <c r="F152" t="inlineStr">
        <is>
          <t>P2-medium-fix</t>
        </is>
      </c>
      <c r="I152" t="inlineStr">
        <is>
          <t>GitHub #139. rca_builder.py._write_observability_log() gRPC write to logging.googleapis.com still returns 403 even though logging/logging-mtls (global + regional) are correctly registered with protocolBinding=GRPC -- confirmed live, not a simple registration gap like #130 was. Root cause unconfirmed; open theories in the issue. Investigation results ARE unaffected -- a separate, always-working stdout-based observability path in agent/main.py already covers this. Completion requires: log_struct() succeeds with no 403 during a real deployed investigation.</t>
        </is>
      </c>
    </row>
    <row r="153">
      <c r="A153" t="n">
        <v>153</v>
      </c>
      <c r="B153" t="n">
        <v>6</v>
      </c>
      <c r="C153" t="inlineStr">
        <is>
          <t>Observability &amp; Reliability</t>
        </is>
      </c>
      <c r="D153" t="inlineStr">
        <is>
          <t>Fix Cloud Trace span fragmentation in native stream_query() investigations</t>
        </is>
      </c>
      <c r="E153" t="inlineStr">
        <is>
          <t>Completed</t>
        </is>
      </c>
      <c r="F153" t="inlineStr">
        <is>
          <t>High</t>
        </is>
      </c>
      <c r="G153" t="inlineStr"/>
      <c r="H153" t="inlineStr"/>
      <c r="I153" t="inlineStr">
        <is>
          <t>Fixed 2026-08-15 (PR #163, merge commit 7f02061). Root cause: investigate_stream()'s outer sre_agent.investigation OTel context was lost across the generator's own yield/resume boundary -- confirmed via a live diagnostic deployment (PR #162) showing context valid through points A/B, invalid immediately after the first yield (point C), same OS thread throughout. Fix: explicit OTel context capture/reattach around every graph.stream() iterator advancement in agent/main.py. Verified live: run_20260815_230251_iwqp produced one correlated trace with all 54 spans (sre_agent.investigation -&gt; langgraph.* -&gt; gen_ai.chat), matching the #130-validated synchronous baseline span count. GitHub #161 closed.</t>
        </is>
      </c>
    </row>
    <row r="154">
      <c r="A154" t="n">
        <v>154</v>
      </c>
      <c r="B154" t="n">
        <v>6</v>
      </c>
      <c r="C154" t="inlineStr">
        <is>
          <t>Observability &amp; Reliability</t>
        </is>
      </c>
      <c r="D154" t="inlineStr">
        <is>
          <t>Fix #130's own tracer-provider race silently blocking Agent Engine's native telemetry</t>
        </is>
      </c>
      <c r="E154" t="inlineStr">
        <is>
          <t>In Progress</t>
        </is>
      </c>
      <c r="F154" t="inlineStr">
        <is>
          <t>High</t>
        </is>
      </c>
      <c r="G154" t="inlineStr"/>
      <c r="H154" t="inlineStr"/>
      <c r="I154" t="inlineStr">
        <is>
          <t>Code fix completed and deployed 2026-08-16 (PR #165, merge commit ee65b69). Root cause: #130's fix (PR #136) made our own OTel tracer initialize early in set_up(), which made it reliably win OpenTelemetry's one-time global-provider race against Agent Engine's own managed tracer (confirmed live: 11/11 workers) -- blocking Agent Engine's own managed provider from ever installing itself, which is what the Agent Platform Console's Traces tab reads from. Fix: get_tracer() no longer competes for the global provider slot at all -- builds its own local TracerProvider instead. Verified live: Google-owned Model Armor spans now appear in Cloud Trace again (never happened once before this fix), confirming Agent Engine's managed tracer is active. HOWEVER the Agent Platform Console's Traces tab itself still does not show any data as of 2026-08-16 -- three further hypotheses tested and ruled out live (sync vs stream method; OTEL_INSTRUMENTATION_GENAI_CAPTURE_MESSAGE_CONTENT boolean and correct-enum values; OTEL_SEMCONV_STABILITY_OPT_IN, never previously set). Google support case drafted, not yet submitted. GitHub #164 remains open pending Google's response.</t>
        </is>
      </c>
    </row>
  </sheetData>
  <conditionalFormatting sqref="E2:E137">
    <cfRule type="expression" priority="1" dxfId="0">
      <formula>E2="Completed"</formula>
    </cfRule>
    <cfRule type="expression" priority="2" dxfId="1">
      <formula>E2="In Progress"</formula>
    </cfRule>
    <cfRule type="expression" priority="3" dxfId="2">
      <formula>E2="Not Started"</formula>
    </cfRule>
    <cfRule type="expression" priority="4" dxfId="3">
      <formula>E2="Blocked"</formula>
    </cfRule>
    <cfRule type="expression" priority="5" dxfId="4">
      <formula>E2="Deferred"</formula>
    </cfRule>
  </conditionalFormatting>
  <dataValidations count="2">
    <dataValidation sqref="E2:E139" showDropDown="0" showInputMessage="0" showErrorMessage="0" allowBlank="0" type="list">
      <formula1>"Completed,In Progress,Not Started,Blocked,Deferred,Waiting on Google Support"</formula1>
    </dataValidation>
    <dataValidation sqref="F2:F139"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0" customWidth="1" min="1" max="1"/>
    <col width="38" customWidth="1" min="2" max="2"/>
    <col width="16" customWidth="1" min="3" max="3"/>
    <col width="58" customWidth="1" min="4" max="4"/>
    <col width="12" customWidth="1" min="5" max="5"/>
  </cols>
  <sheetData>
    <row r="1">
      <c r="A1" s="21" t="inlineStr">
        <is>
          <t>SRE Agent Project Dashboard</t>
        </is>
      </c>
      <c r="B1" s="1" t="n"/>
      <c r="C1" s="1" t="n"/>
      <c r="D1" s="1" t="n"/>
      <c r="E1" s="1" t="n"/>
      <c r="F1" s="1" t="n"/>
      <c r="G1" s="1" t="n"/>
      <c r="H1" s="1" t="n"/>
    </row>
    <row r="2">
      <c r="A2" s="1" t="n"/>
      <c r="B2" s="1" t="n"/>
      <c r="C2" s="1" t="n"/>
      <c r="D2" s="1" t="n"/>
      <c r="E2" s="1" t="n"/>
      <c r="F2" s="1" t="n"/>
      <c r="G2" s="1" t="n"/>
      <c r="H2" s="1" t="n"/>
    </row>
    <row r="4">
      <c r="A4" s="23" t="inlineStr">
        <is>
          <t>Metric</t>
        </is>
      </c>
      <c r="B4" s="23" t="inlineStr">
        <is>
          <t>Value</t>
        </is>
      </c>
      <c r="D4" s="23" t="inlineStr">
        <is>
          <t>Priority</t>
        </is>
      </c>
      <c r="E4" s="23" t="inlineStr">
        <is>
          <t>Count</t>
        </is>
      </c>
    </row>
    <row r="5">
      <c r="A5" t="inlineStr">
        <is>
          <t>Total Tasks</t>
        </is>
      </c>
      <c r="B5">
        <f>COUNTA('Project Tracker'!D2:D10000)</f>
        <v/>
      </c>
      <c r="D5" t="inlineStr">
        <is>
          <t>Critical</t>
        </is>
      </c>
      <c r="E5">
        <f>COUNTIF('Project Tracker'!F2:F10000,"Critical")</f>
        <v/>
      </c>
    </row>
    <row r="6">
      <c r="A6" t="inlineStr">
        <is>
          <t>Completed</t>
        </is>
      </c>
      <c r="B6">
        <f>COUNTIF('Project Tracker'!E2:E10000,"Completed")</f>
        <v/>
      </c>
      <c r="D6" t="inlineStr">
        <is>
          <t>High</t>
        </is>
      </c>
      <c r="E6">
        <f>COUNTIF('Project Tracker'!F2:F10000,"High")</f>
        <v/>
      </c>
    </row>
    <row r="7">
      <c r="A7" t="inlineStr">
        <is>
          <t>In Progress</t>
        </is>
      </c>
      <c r="B7">
        <f>COUNTIF('Project Tracker'!E2:E10000,"In Progress")</f>
        <v/>
      </c>
      <c r="D7" t="inlineStr">
        <is>
          <t>Medium</t>
        </is>
      </c>
      <c r="E7">
        <f>COUNTIF('Project Tracker'!F2:F10000,"Medium")</f>
        <v/>
      </c>
    </row>
    <row r="8">
      <c r="A8" t="inlineStr">
        <is>
          <t>Blocked</t>
        </is>
      </c>
      <c r="B8">
        <f>COUNTIF('Project Tracker'!E2:E10000,"Blocked")</f>
        <v/>
      </c>
      <c r="D8" t="inlineStr">
        <is>
          <t>Low</t>
        </is>
      </c>
      <c r="E8">
        <f>COUNTIF('Project Tracker'!F2:F10000,"Low")</f>
        <v/>
      </c>
    </row>
    <row r="9">
      <c r="A9" t="inlineStr">
        <is>
          <t>Not Started</t>
        </is>
      </c>
      <c r="B9">
        <f>COUNTIF('Project Tracker'!E2:E10000,"Not Started")</f>
        <v/>
      </c>
      <c r="D9" t="inlineStr">
        <is>
          <t>Deferred</t>
        </is>
      </c>
      <c r="E9">
        <f>COUNTIF('Project Tracker'!E2:E10000,"Deferred")</f>
        <v/>
      </c>
    </row>
    <row r="10">
      <c r="A10" t="inlineStr">
        <is>
          <t>Waiting on Google Support</t>
        </is>
      </c>
      <c r="B10">
        <f>COUNTIF('Project Tracker'!E2:E10000,"Waiting on Google Support")</f>
        <v/>
      </c>
    </row>
    <row r="12">
      <c r="A12" s="29" t="inlineStr">
        <is>
          <t>Current Priority Focus</t>
        </is>
      </c>
      <c r="B12" s="1" t="n"/>
      <c r="C12" s="1" t="n"/>
      <c r="D12" s="1" t="n"/>
      <c r="E12" s="1" t="n"/>
      <c r="F12" s="1" t="n"/>
      <c r="G12" s="1" t="n"/>
      <c r="H12" s="1" t="n"/>
    </row>
    <row r="13">
      <c r="A13" s="4" t="inlineStr">
        <is>
          <t>Order</t>
        </is>
      </c>
      <c r="B13" s="4" t="inlineStr">
        <is>
          <t>Focus</t>
        </is>
      </c>
      <c r="C13" s="4" t="inlineStr">
        <is>
          <t>Status</t>
        </is>
      </c>
      <c r="D13" s="4" t="inlineStr">
        <is>
          <t>Why It Matters</t>
        </is>
      </c>
    </row>
    <row r="14">
      <c r="A14" s="12" t="n">
        <v>1</v>
      </c>
      <c r="B14" s="12" t="inlineStr">
        <is>
          <t>Fix client timeout / investigation latency</t>
        </is>
      </c>
      <c r="C14" s="12" t="inlineStr">
        <is>
          <t>Blocked</t>
        </is>
      </c>
      <c r="D14" s="12" t="inlineStr">
        <is>
          <t>Live runs can exceed the client timeout.</t>
        </is>
      </c>
    </row>
    <row r="15">
      <c r="A15" s="12" t="n">
        <v>2</v>
      </c>
      <c r="B15" s="12" t="inlineStr">
        <is>
          <t>Restore reliable pod-log access</t>
        </is>
      </c>
      <c r="C15" s="12" t="inlineStr">
        <is>
          <t>Blocked</t>
        </is>
      </c>
      <c r="D15" s="12" t="inlineStr">
        <is>
          <t>Missing logs directly reduces investigation quality.</t>
        </is>
      </c>
    </row>
    <row r="16">
      <c r="A16" s="12" t="n">
        <v>3</v>
      </c>
      <c r="B16" s="12" t="inlineStr">
        <is>
          <t>Close confidence/evidence correctness gaps</t>
        </is>
      </c>
      <c r="C16" s="12" t="inlineStr">
        <is>
          <t>In Progress</t>
        </is>
      </c>
      <c r="D16" s="12" t="inlineStr">
        <is>
          <t>Confidence must reflect successful, fresh evidence.</t>
        </is>
      </c>
    </row>
    <row r="17">
      <c r="A17" s="12" t="n">
        <v>4</v>
      </c>
      <c r="B17" s="12" t="inlineStr">
        <is>
          <t>Finish routing safety and multi-cluster IAM</t>
        </is>
      </c>
      <c r="C17" s="12" t="inlineStr">
        <is>
          <t>In Progress</t>
        </is>
      </c>
      <c r="D17" s="12" t="inlineStr">
        <is>
          <t>Wrong-cluster/default routing is a production safety risk.</t>
        </is>
      </c>
    </row>
    <row r="18">
      <c r="A18" s="12" t="n">
        <v>5</v>
      </c>
      <c r="B18" s="12" t="inlineStr">
        <is>
          <t>Complete full E2E evaluation</t>
        </is>
      </c>
      <c r="C18" s="12" t="inlineStr">
        <is>
          <t>Blocked</t>
        </is>
      </c>
      <c r="D18" s="12" t="inlineStr">
        <is>
          <t>Need proof the entire workflow works together.</t>
        </is>
      </c>
    </row>
    <row r="19">
      <c r="A19" s="12" t="n">
        <v>6</v>
      </c>
      <c r="B19" s="12" t="inlineStr">
        <is>
          <t>Deploy Custom MCP + validate Connect Gateway</t>
        </is>
      </c>
      <c r="C19" s="12" t="inlineStr">
        <is>
          <t>In Progress</t>
        </is>
      </c>
      <c r="D19" s="12" t="inlineStr">
        <is>
          <t>Required for production non-GKE/on-prem support.</t>
        </is>
      </c>
    </row>
    <row r="20">
      <c r="A20" s="12" t="n">
        <v>7</v>
      </c>
      <c r="B20" s="12" t="inlineStr">
        <is>
          <t>Build PagerDuty integration</t>
        </is>
      </c>
      <c r="C20" s="12" t="inlineStr">
        <is>
          <t>Not Started</t>
        </is>
      </c>
      <c r="D20" s="12" t="inlineStr">
        <is>
          <t>Required automated production trigger path.</t>
        </is>
      </c>
    </row>
  </sheetData>
  <mergeCells count="2">
    <mergeCell ref="A12:H12"/>
    <mergeCell ref="A1:H2"/>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2" customWidth="1" min="1" max="1"/>
    <col width="34" customWidth="1" min="2" max="2"/>
    <col width="14" customWidth="1" min="3" max="3"/>
    <col width="14" customWidth="1" min="4" max="4"/>
    <col width="14" customWidth="1" min="5" max="5"/>
    <col width="14" customWidth="1" min="6" max="6"/>
    <col width="14" customWidth="1" min="7" max="7"/>
  </cols>
  <sheetData>
    <row r="1">
      <c r="A1" s="4" t="inlineStr">
        <is>
          <t>Phase</t>
        </is>
      </c>
      <c r="B1" s="4" t="inlineStr">
        <is>
          <t>Workstream</t>
        </is>
      </c>
      <c r="C1" s="4" t="inlineStr">
        <is>
          <t>Total</t>
        </is>
      </c>
      <c r="D1" s="4" t="inlineStr">
        <is>
          <t>Completed</t>
        </is>
      </c>
      <c r="E1" s="4" t="inlineStr">
        <is>
          <t>In Progress</t>
        </is>
      </c>
      <c r="F1" s="4" t="inlineStr">
        <is>
          <t>Blocked</t>
        </is>
      </c>
      <c r="G1" s="4" t="inlineStr">
        <is>
          <t>Not Started</t>
        </is>
      </c>
      <c r="H1" t="inlineStr">
        <is>
          <t>Waiting on Google Support</t>
        </is>
      </c>
    </row>
    <row r="2">
      <c r="A2" s="12" t="inlineStr">
        <is>
          <t>Phase 0</t>
        </is>
      </c>
      <c r="B2" s="12" t="inlineStr">
        <is>
          <t>Protect Current Working Setup</t>
        </is>
      </c>
      <c r="C2" s="12">
        <f>COUNTIFS('Project Tracker'!B:B,A2,'Project Tracker'!C:C,B2)</f>
        <v/>
      </c>
      <c r="D2" s="12">
        <f>COUNTIFS('Project Tracker'!B:B,A2,'Project Tracker'!C:C,B2,'Project Tracker'!E:E,"Completed")</f>
        <v/>
      </c>
      <c r="E2" s="12">
        <f>COUNTIFS('Project Tracker'!B:B,A2,'Project Tracker'!C:C,B2,'Project Tracker'!E:E,"In Progress")</f>
        <v/>
      </c>
      <c r="F2" s="12">
        <f>COUNTIFS('Project Tracker'!B:B,A2,'Project Tracker'!C:C,B2,'Project Tracker'!E:E,"Blocked")</f>
        <v/>
      </c>
      <c r="G2" s="12">
        <f>COUNTIFS('Project Tracker'!B:B,A2,'Project Tracker'!C:C,B2,'Project Tracker'!E:E,"Not Started")</f>
        <v/>
      </c>
      <c r="H2">
        <f>COUNTIFS('Project Tracker'!B:B,A2,'Project Tracker'!C:C,B2,'Project Tracker'!E:E,"Waiting on Google Support")</f>
        <v/>
      </c>
    </row>
    <row r="3">
      <c r="A3" s="12" t="inlineStr">
        <is>
          <t>Phase 1</t>
        </is>
      </c>
      <c r="B3" s="12" t="inlineStr">
        <is>
          <t>Production Readiness</t>
        </is>
      </c>
      <c r="C3" s="12">
        <f>COUNTIFS('Project Tracker'!B:B,A3,'Project Tracker'!C:C,B3)</f>
        <v/>
      </c>
      <c r="D3" s="12">
        <f>COUNTIFS('Project Tracker'!B:B,A3,'Project Tracker'!C:C,B3,'Project Tracker'!E:E,"Completed")</f>
        <v/>
      </c>
      <c r="E3" s="12">
        <f>COUNTIFS('Project Tracker'!B:B,A3,'Project Tracker'!C:C,B3,'Project Tracker'!E:E,"In Progress")</f>
        <v/>
      </c>
      <c r="F3" s="12">
        <f>COUNTIFS('Project Tracker'!B:B,A3,'Project Tracker'!C:C,B3,'Project Tracker'!E:E,"Blocked")</f>
        <v/>
      </c>
      <c r="G3" s="12">
        <f>COUNTIFS('Project Tracker'!B:B,A3,'Project Tracker'!C:C,B3,'Project Tracker'!E:E,"Not Started")</f>
        <v/>
      </c>
      <c r="H3">
        <f>COUNTIFS('Project Tracker'!B:B,A3,'Project Tracker'!C:C,B3,'Project Tracker'!E:E,"Waiting on Google Support")</f>
        <v/>
      </c>
    </row>
    <row r="4">
      <c r="A4" s="12" t="inlineStr">
        <is>
          <t>Phase 2</t>
        </is>
      </c>
      <c r="B4" s="12" t="inlineStr">
        <is>
          <t>Agent Gateway &amp; Model Armor</t>
        </is>
      </c>
      <c r="C4" s="12">
        <f>COUNTIFS('Project Tracker'!B:B,A4,'Project Tracker'!C:C,B4)</f>
        <v/>
      </c>
      <c r="D4" s="12">
        <f>COUNTIFS('Project Tracker'!B:B,A4,'Project Tracker'!C:C,B4,'Project Tracker'!E:E,"Completed")</f>
        <v/>
      </c>
      <c r="E4" s="12">
        <f>COUNTIFS('Project Tracker'!B:B,A4,'Project Tracker'!C:C,B4,'Project Tracker'!E:E,"In Progress")</f>
        <v/>
      </c>
      <c r="F4" s="12">
        <f>COUNTIFS('Project Tracker'!B:B,A4,'Project Tracker'!C:C,B4,'Project Tracker'!E:E,"Blocked")</f>
        <v/>
      </c>
      <c r="G4" s="12">
        <f>COUNTIFS('Project Tracker'!B:B,A4,'Project Tracker'!C:C,B4,'Project Tracker'!E:E,"Not Started")</f>
        <v/>
      </c>
      <c r="H4">
        <f>COUNTIFS('Project Tracker'!B:B,A4,'Project Tracker'!C:C,B4,'Project Tracker'!E:E,"Waiting on Google Support")</f>
        <v/>
      </c>
    </row>
    <row r="5">
      <c r="A5" s="12" t="inlineStr">
        <is>
          <t>Phase 3</t>
        </is>
      </c>
      <c r="B5" s="12" t="inlineStr">
        <is>
          <t>RCA Output &amp; Evidence</t>
        </is>
      </c>
      <c r="C5" s="12">
        <f>COUNTIFS('Project Tracker'!B:B,A5,'Project Tracker'!C:C,B5)</f>
        <v/>
      </c>
      <c r="D5" s="12">
        <f>COUNTIFS('Project Tracker'!B:B,A5,'Project Tracker'!C:C,B5,'Project Tracker'!E:E,"Completed")</f>
        <v/>
      </c>
      <c r="E5" s="12">
        <f>COUNTIFS('Project Tracker'!B:B,A5,'Project Tracker'!C:C,B5,'Project Tracker'!E:E,"In Progress")</f>
        <v/>
      </c>
      <c r="F5" s="12">
        <f>COUNTIFS('Project Tracker'!B:B,A5,'Project Tracker'!C:C,B5,'Project Tracker'!E:E,"Blocked")</f>
        <v/>
      </c>
      <c r="G5" s="12">
        <f>COUNTIFS('Project Tracker'!B:B,A5,'Project Tracker'!C:C,B5,'Project Tracker'!E:E,"Not Started")</f>
        <v/>
      </c>
      <c r="H5">
        <f>COUNTIFS('Project Tracker'!B:B,A5,'Project Tracker'!C:C,B5,'Project Tracker'!E:E,"Waiting on Google Support")</f>
        <v/>
      </c>
    </row>
    <row r="6">
      <c r="A6" s="12" t="inlineStr">
        <is>
          <t>Phase 4</t>
        </is>
      </c>
      <c r="B6" s="12" t="inlineStr">
        <is>
          <t>Dynamic Investigation &amp; Confidence</t>
        </is>
      </c>
      <c r="C6" s="12">
        <f>COUNTIFS('Project Tracker'!B:B,A6,'Project Tracker'!C:C,B6)</f>
        <v/>
      </c>
      <c r="D6" s="12">
        <f>COUNTIFS('Project Tracker'!B:B,A6,'Project Tracker'!C:C,B6,'Project Tracker'!E:E,"Completed")</f>
        <v/>
      </c>
      <c r="E6" s="12">
        <f>COUNTIFS('Project Tracker'!B:B,A6,'Project Tracker'!C:C,B6,'Project Tracker'!E:E,"In Progress")</f>
        <v/>
      </c>
      <c r="F6" s="12">
        <f>COUNTIFS('Project Tracker'!B:B,A6,'Project Tracker'!C:C,B6,'Project Tracker'!E:E,"Blocked")</f>
        <v/>
      </c>
      <c r="G6" s="12">
        <f>COUNTIFS('Project Tracker'!B:B,A6,'Project Tracker'!C:C,B6,'Project Tracker'!E:E,"Not Started")</f>
        <v/>
      </c>
      <c r="H6">
        <f>COUNTIFS('Project Tracker'!B:B,A6,'Project Tracker'!C:C,B6,'Project Tracker'!E:E,"Waiting on Google Support")</f>
        <v/>
      </c>
    </row>
    <row r="7">
      <c r="A7" s="12" t="inlineStr">
        <is>
          <t>Phase 5</t>
        </is>
      </c>
      <c r="B7" s="12" t="inlineStr">
        <is>
          <t>Testing &amp; Evaluation</t>
        </is>
      </c>
      <c r="C7" s="12">
        <f>COUNTIFS('Project Tracker'!B:B,A7,'Project Tracker'!C:C,B7)</f>
        <v/>
      </c>
      <c r="D7" s="12">
        <f>COUNTIFS('Project Tracker'!B:B,A7,'Project Tracker'!C:C,B7,'Project Tracker'!E:E,"Completed")</f>
        <v/>
      </c>
      <c r="E7" s="12">
        <f>COUNTIFS('Project Tracker'!B:B,A7,'Project Tracker'!C:C,B7,'Project Tracker'!E:E,"In Progress")</f>
        <v/>
      </c>
      <c r="F7" s="12">
        <f>COUNTIFS('Project Tracker'!B:B,A7,'Project Tracker'!C:C,B7,'Project Tracker'!E:E,"Blocked")</f>
        <v/>
      </c>
      <c r="G7" s="12">
        <f>COUNTIFS('Project Tracker'!B:B,A7,'Project Tracker'!C:C,B7,'Project Tracker'!E:E,"Not Started")</f>
        <v/>
      </c>
      <c r="H7">
        <f>COUNTIFS('Project Tracker'!B:B,A7,'Project Tracker'!C:C,B7,'Project Tracker'!E:E,"Waiting on Google Support")</f>
        <v/>
      </c>
    </row>
    <row r="8">
      <c r="A8" s="12" t="inlineStr">
        <is>
          <t>Phase 6</t>
        </is>
      </c>
      <c r="B8" s="12" t="inlineStr">
        <is>
          <t>Observability &amp; Reliability</t>
        </is>
      </c>
      <c r="C8" s="12">
        <f>COUNTIFS('Project Tracker'!B:B,A8,'Project Tracker'!C:C,B8)</f>
        <v/>
      </c>
      <c r="D8" s="12">
        <f>COUNTIFS('Project Tracker'!B:B,A8,'Project Tracker'!C:C,B8,'Project Tracker'!E:E,"Completed")</f>
        <v/>
      </c>
      <c r="E8" s="12">
        <f>COUNTIFS('Project Tracker'!B:B,A8,'Project Tracker'!C:C,B8,'Project Tracker'!E:E,"In Progress")</f>
        <v/>
      </c>
      <c r="F8" s="12">
        <f>COUNTIFS('Project Tracker'!B:B,A8,'Project Tracker'!C:C,B8,'Project Tracker'!E:E,"Blocked")</f>
        <v/>
      </c>
      <c r="G8" s="12">
        <f>COUNTIFS('Project Tracker'!B:B,A8,'Project Tracker'!C:C,B8,'Project Tracker'!E:E,"Not Started")</f>
        <v/>
      </c>
      <c r="H8">
        <f>COUNTIFS('Project Tracker'!B:B,A8,'Project Tracker'!C:C,B8,'Project Tracker'!E:E,"Waiting on Google Support")</f>
        <v/>
      </c>
    </row>
    <row r="9">
      <c r="A9" s="12" t="inlineStr">
        <is>
          <t>Phase 7</t>
        </is>
      </c>
      <c r="B9" s="12" t="inlineStr">
        <is>
          <t>Multi-Cluster Scalability</t>
        </is>
      </c>
      <c r="C9" s="12">
        <f>COUNTIFS('Project Tracker'!B:B,A9,'Project Tracker'!C:C,B9)</f>
        <v/>
      </c>
      <c r="D9" s="12">
        <f>COUNTIFS('Project Tracker'!B:B,A9,'Project Tracker'!C:C,B9,'Project Tracker'!E:E,"Completed")</f>
        <v/>
      </c>
      <c r="E9" s="12">
        <f>COUNTIFS('Project Tracker'!B:B,A9,'Project Tracker'!C:C,B9,'Project Tracker'!E:E,"In Progress")</f>
        <v/>
      </c>
      <c r="F9" s="12">
        <f>COUNTIFS('Project Tracker'!B:B,A9,'Project Tracker'!C:C,B9,'Project Tracker'!E:E,"Blocked")</f>
        <v/>
      </c>
      <c r="G9" s="12">
        <f>COUNTIFS('Project Tracker'!B:B,A9,'Project Tracker'!C:C,B9,'Project Tracker'!E:E,"Not Started")</f>
        <v/>
      </c>
      <c r="H9">
        <f>COUNTIFS('Project Tracker'!B:B,A9,'Project Tracker'!C:C,B9,'Project Tracker'!E:E,"Waiting on Google Support")</f>
        <v/>
      </c>
    </row>
    <row r="10">
      <c r="A10" s="12" t="inlineStr">
        <is>
          <t>Phase 8</t>
        </is>
      </c>
      <c r="B10" s="12" t="inlineStr">
        <is>
          <t>MCP Tool Architecture</t>
        </is>
      </c>
      <c r="C10" s="12">
        <f>COUNTIFS('Project Tracker'!B:B,A10,'Project Tracker'!C:C,B10)</f>
        <v/>
      </c>
      <c r="D10" s="12">
        <f>COUNTIFS('Project Tracker'!B:B,A10,'Project Tracker'!C:C,B10,'Project Tracker'!E:E,"Completed")</f>
        <v/>
      </c>
      <c r="E10" s="12">
        <f>COUNTIFS('Project Tracker'!B:B,A10,'Project Tracker'!C:C,B10,'Project Tracker'!E:E,"In Progress")</f>
        <v/>
      </c>
      <c r="F10" s="12">
        <f>COUNTIFS('Project Tracker'!B:B,A10,'Project Tracker'!C:C,B10,'Project Tracker'!E:E,"Blocked")</f>
        <v/>
      </c>
      <c r="G10" s="12">
        <f>COUNTIFS('Project Tracker'!B:B,A10,'Project Tracker'!C:C,B10,'Project Tracker'!E:E,"Not Started")</f>
        <v/>
      </c>
      <c r="H10">
        <f>COUNTIFS('Project Tracker'!B:B,A10,'Project Tracker'!C:C,B10,'Project Tracker'!E:E,"Waiting on Google Support")</f>
        <v/>
      </c>
    </row>
    <row r="11">
      <c r="A11" s="12" t="inlineStr">
        <is>
          <t>Phase 9</t>
        </is>
      </c>
      <c r="B11" s="12" t="inlineStr">
        <is>
          <t>Cost &amp; Performance</t>
        </is>
      </c>
      <c r="C11" s="12">
        <f>COUNTIFS('Project Tracker'!B:B,A11,'Project Tracker'!C:C,B11)</f>
        <v/>
      </c>
      <c r="D11" s="12">
        <f>COUNTIFS('Project Tracker'!B:B,A11,'Project Tracker'!C:C,B11,'Project Tracker'!E:E,"Completed")</f>
        <v/>
      </c>
      <c r="E11" s="12">
        <f>COUNTIFS('Project Tracker'!B:B,A11,'Project Tracker'!C:C,B11,'Project Tracker'!E:E,"In Progress")</f>
        <v/>
      </c>
      <c r="F11" s="12">
        <f>COUNTIFS('Project Tracker'!B:B,A11,'Project Tracker'!C:C,B11,'Project Tracker'!E:E,"Blocked")</f>
        <v/>
      </c>
      <c r="G11" s="12">
        <f>COUNTIFS('Project Tracker'!B:B,A11,'Project Tracker'!C:C,B11,'Project Tracker'!E:E,"Not Started")</f>
        <v/>
      </c>
      <c r="H11">
        <f>COUNTIFS('Project Tracker'!B:B,A11,'Project Tracker'!C:C,B11,'Project Tracker'!E:E,"Waiting on Google Support")</f>
        <v/>
      </c>
    </row>
    <row r="12">
      <c r="A12" s="12" t="inlineStr">
        <is>
          <t>Phase 10</t>
        </is>
      </c>
      <c r="B12" s="12" t="inlineStr">
        <is>
          <t>PagerDuty Integration</t>
        </is>
      </c>
      <c r="C12" s="12">
        <f>COUNTIFS('Project Tracker'!B:B,A12,'Project Tracker'!C:C,B12)</f>
        <v/>
      </c>
      <c r="D12" s="12">
        <f>COUNTIFS('Project Tracker'!B:B,A12,'Project Tracker'!C:C,B12,'Project Tracker'!E:E,"Completed")</f>
        <v/>
      </c>
      <c r="E12" s="12">
        <f>COUNTIFS('Project Tracker'!B:B,A12,'Project Tracker'!C:C,B12,'Project Tracker'!E:E,"In Progress")</f>
        <v/>
      </c>
      <c r="F12" s="12">
        <f>COUNTIFS('Project Tracker'!B:B,A12,'Project Tracker'!C:C,B12,'Project Tracker'!E:E,"Blocked")</f>
        <v/>
      </c>
      <c r="G12" s="12">
        <f>COUNTIFS('Project Tracker'!B:B,A12,'Project Tracker'!C:C,B12,'Project Tracker'!E:E,"Not Started")</f>
        <v/>
      </c>
      <c r="H12">
        <f>COUNTIFS('Project Tracker'!B:B,A12,'Project Tracker'!C:C,B12,'Project Tracker'!E:E,"Waiting on Google Support")</f>
        <v/>
      </c>
    </row>
    <row r="13">
      <c r="A13" s="12" t="inlineStr">
        <is>
          <t>Phase 11</t>
        </is>
      </c>
      <c r="B13" s="12" t="inlineStr">
        <is>
          <t>Additional MCP Sources</t>
        </is>
      </c>
      <c r="C13" s="12">
        <f>COUNTIFS('Project Tracker'!B:B,A13,'Project Tracker'!C:C,B13)</f>
        <v/>
      </c>
      <c r="D13" s="12">
        <f>COUNTIFS('Project Tracker'!B:B,A13,'Project Tracker'!C:C,B13,'Project Tracker'!E:E,"Completed")</f>
        <v/>
      </c>
      <c r="E13" s="12">
        <f>COUNTIFS('Project Tracker'!B:B,A13,'Project Tracker'!C:C,B13,'Project Tracker'!E:E,"In Progress")</f>
        <v/>
      </c>
      <c r="F13" s="12">
        <f>COUNTIFS('Project Tracker'!B:B,A13,'Project Tracker'!C:C,B13,'Project Tracker'!E:E,"Blocked")</f>
        <v/>
      </c>
      <c r="G13" s="12">
        <f>COUNTIFS('Project Tracker'!B:B,A13,'Project Tracker'!C:C,B13,'Project Tracker'!E:E,"Not Started")</f>
        <v/>
      </c>
      <c r="H13">
        <f>COUNTIFS('Project Tracker'!B:B,A13,'Project Tracker'!C:C,B13,'Project Tracker'!E:E,"Waiting on Google Support")</f>
        <v/>
      </c>
    </row>
    <row r="14">
      <c r="A14" s="12" t="inlineStr">
        <is>
          <t>Phase 12</t>
        </is>
      </c>
      <c r="B14" s="12" t="inlineStr">
        <is>
          <t>On-Premises Kubernetes</t>
        </is>
      </c>
      <c r="C14" s="12">
        <f>COUNTIFS('Project Tracker'!B:B,A14,'Project Tracker'!C:C,B14)</f>
        <v/>
      </c>
      <c r="D14" s="12">
        <f>COUNTIFS('Project Tracker'!B:B,A14,'Project Tracker'!C:C,B14,'Project Tracker'!E:E,"Completed")</f>
        <v/>
      </c>
      <c r="E14" s="12">
        <f>COUNTIFS('Project Tracker'!B:B,A14,'Project Tracker'!C:C,B14,'Project Tracker'!E:E,"In Progress")</f>
        <v/>
      </c>
      <c r="F14" s="12">
        <f>COUNTIFS('Project Tracker'!B:B,A14,'Project Tracker'!C:C,B14,'Project Tracker'!E:E,"Blocked")</f>
        <v/>
      </c>
      <c r="G14" s="12">
        <f>COUNTIFS('Project Tracker'!B:B,A14,'Project Tracker'!C:C,B14,'Project Tracker'!E:E,"Not Started")</f>
        <v/>
      </c>
      <c r="H14">
        <f>COUNTIFS('Project Tracker'!B:B,A14,'Project Tracker'!C:C,B14,'Project Tracker'!E:E,"Waiting on Google Support")</f>
        <v/>
      </c>
    </row>
    <row r="15">
      <c r="A15" s="12" t="inlineStr">
        <is>
          <t>Phase 13</t>
        </is>
      </c>
      <c r="B15" s="12" t="inlineStr">
        <is>
          <t>Security &amp; Supply Chain</t>
        </is>
      </c>
      <c r="C15" s="12">
        <f>COUNTIFS('Project Tracker'!B:B,A15,'Project Tracker'!C:C,B15)</f>
        <v/>
      </c>
      <c r="D15" s="12">
        <f>COUNTIFS('Project Tracker'!B:B,A15,'Project Tracker'!C:C,B15,'Project Tracker'!E:E,"Completed")</f>
        <v/>
      </c>
      <c r="E15" s="12">
        <f>COUNTIFS('Project Tracker'!B:B,A15,'Project Tracker'!C:C,B15,'Project Tracker'!E:E,"In Progress")</f>
        <v/>
      </c>
      <c r="F15" s="12">
        <f>COUNTIFS('Project Tracker'!B:B,A15,'Project Tracker'!C:C,B15,'Project Tracker'!E:E,"Blocked")</f>
        <v/>
      </c>
      <c r="G15" s="12">
        <f>COUNTIFS('Project Tracker'!B:B,A15,'Project Tracker'!C:C,B15,'Project Tracker'!E:E,"Not Started")</f>
        <v/>
      </c>
      <c r="H15">
        <f>COUNTIFS('Project Tracker'!B:B,A15,'Project Tracker'!C:C,B15,'Project Tracker'!E:E,"Waiting on Google Support")</f>
        <v/>
      </c>
    </row>
    <row r="16">
      <c r="A16" s="12" t="inlineStr">
        <is>
          <t>Phase 14</t>
        </is>
      </c>
      <c r="B16" s="12" t="inlineStr">
        <is>
          <t>ADK Migration Assessment</t>
        </is>
      </c>
      <c r="C16" s="12">
        <f>COUNTIFS('Project Tracker'!B:B,A16,'Project Tracker'!C:C,B16)</f>
        <v/>
      </c>
      <c r="D16" s="12">
        <f>COUNTIFS('Project Tracker'!B:B,A16,'Project Tracker'!C:C,B16,'Project Tracker'!E:E,"Completed")</f>
        <v/>
      </c>
      <c r="E16" s="12">
        <f>COUNTIFS('Project Tracker'!B:B,A16,'Project Tracker'!C:C,B16,'Project Tracker'!E:E,"In Progress")</f>
        <v/>
      </c>
      <c r="F16" s="12">
        <f>COUNTIFS('Project Tracker'!B:B,A16,'Project Tracker'!C:C,B16,'Project Tracker'!E:E,"Blocked")</f>
        <v/>
      </c>
      <c r="G16" s="12">
        <f>COUNTIFS('Project Tracker'!B:B,A16,'Project Tracker'!C:C,B16,'Project Tracker'!E:E,"Not Started")</f>
        <v/>
      </c>
      <c r="H16">
        <f>COUNTIFS('Project Tracker'!B:B,A16,'Project Tracker'!C:C,B16,'Project Tracker'!E:E,"Waiting on Google Support")</f>
        <v/>
      </c>
    </row>
    <row r="17">
      <c r="A17" s="12" t="inlineStr">
        <is>
          <t>Final</t>
        </is>
      </c>
      <c r="B17" s="12" t="inlineStr">
        <is>
          <t>Final Production Approval</t>
        </is>
      </c>
      <c r="C17" s="12">
        <f>COUNTIFS('Project Tracker'!B:B,A17,'Project Tracker'!C:C,B17)</f>
        <v/>
      </c>
      <c r="D17" s="12">
        <f>COUNTIFS('Project Tracker'!B:B,A17,'Project Tracker'!C:C,B17,'Project Tracker'!E:E,"Completed")</f>
        <v/>
      </c>
      <c r="E17" s="12">
        <f>COUNTIFS('Project Tracker'!B:B,A17,'Project Tracker'!C:C,B17,'Project Tracker'!E:E,"In Progress")</f>
        <v/>
      </c>
      <c r="F17" s="12">
        <f>COUNTIFS('Project Tracker'!B:B,A17,'Project Tracker'!C:C,B17,'Project Tracker'!E:E,"Blocked")</f>
        <v/>
      </c>
      <c r="G17" s="12">
        <f>COUNTIFS('Project Tracker'!B:B,A17,'Project Tracker'!C:C,B17,'Project Tracker'!E:E,"Not Started")</f>
        <v/>
      </c>
      <c r="H17">
        <f>COUNTIFS('Project Tracker'!B:B,A17,'Project Tracker'!C:C,B17,'Project Tracker'!E:E,"Waiting on Google Support")</f>
        <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80" customWidth="1" min="2" max="2"/>
  </cols>
  <sheetData>
    <row r="1">
      <c r="A1" s="4" t="inlineStr">
        <is>
          <t>Field</t>
        </is>
      </c>
      <c r="B1" s="4" t="inlineStr">
        <is>
          <t>Value</t>
        </is>
      </c>
    </row>
    <row r="2">
      <c r="A2" t="inlineStr">
        <is>
          <t>Project</t>
        </is>
      </c>
      <c r="B2" t="inlineStr">
        <is>
          <t>GCP AI SRE Agent</t>
        </is>
      </c>
    </row>
    <row r="3">
      <c r="A3" t="inlineStr">
        <is>
          <t>Repository</t>
        </is>
      </c>
      <c r="B3" t="inlineStr">
        <is>
          <t>https://github.com/AshminPy/sre-agent-gateway</t>
        </is>
      </c>
    </row>
    <row r="4">
      <c r="A4" t="inlineStr">
        <is>
          <t>Reviewed</t>
        </is>
      </c>
      <c r="B4" t="inlineStr">
        <is>
          <t>2026-08-11</t>
        </is>
      </c>
    </row>
    <row r="5">
      <c r="A5" t="inlineStr">
        <is>
          <t>Statuses</t>
        </is>
      </c>
      <c r="B5" t="inlineStr">
        <is>
          <t>Completed | In Progress | Not Started | Blocked | Deferred | Waiting on Google Support</t>
        </is>
      </c>
    </row>
    <row r="6">
      <c r="A6" t="inlineStr">
        <is>
          <t>Priorities</t>
        </is>
      </c>
      <c r="B6" t="inlineStr">
        <is>
          <t>Critical | High | Medium | Low</t>
        </is>
      </c>
    </row>
    <row r="7">
      <c r="A7" t="inlineStr">
        <is>
          <t>Purpose</t>
        </is>
      </c>
      <c r="B7" t="inlineStr">
        <is>
          <t>Master project tracker for roadmap and production readiness.</t>
        </is>
      </c>
    </row>
    <row r="8">
      <c r="A8" t="inlineStr">
        <is>
          <t>How to use</t>
        </is>
      </c>
      <c r="B8" t="inlineStr">
        <is>
          <t>Update Status, Owner and Target Date in Project Tracker; summaries update automatically.</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2026-08-12T05:54:09Z</dcterms:created>
  <dcterms:modified xmlns:dcterms="http://purl.org/dc/terms/" xmlns:xsi="http://www.w3.org/2001/XMLSchema-instance" xsi:type="dcterms:W3CDTF">2026-08-17T17:51:49Z</dcterms:modified>
</cp:coreProperties>
</file>
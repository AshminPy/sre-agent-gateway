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In Progress</t>
        </is>
      </c>
      <c r="F5" s="12" t="inlineStr">
        <is>
          <t>High</t>
        </is>
      </c>
      <c r="G5" s="12" t="str"/>
      <c r="H5" s="30" t="n"/>
      <c r="I5" s="12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Restore and validate full-path trace propagation</t>
        </is>
      </c>
      <c r="E63" s="12" t="inlineStr">
        <is>
          <t>Completed</t>
        </is>
      </c>
      <c r="F63" s="12" t="inlineStr">
        <is>
          <t>High</t>
        </is>
      </c>
      <c r="G63" s="12" t="str"/>
      <c r="H63" s="30" t="n"/>
      <c r="I63" s="12" t="inlineStr">
        <is>
          <t>Fully validated live 2026-08-13. Three root causes fixed (PR #136, #137): lazy tracer init losing setup race, wrong Cloud Trace hostname, wrong gRPC protocol binding for Cloud Trace/Logging. Live proof: run_20260813_222248_ybag -- flush_traces result=True, real trace ada23f5a144e8b327fe6fc51c3a426b4 with 54 correlated spans (outer + all LangGraph nodes + Gemini calls), metadata-only content confirmed. GitHub #130 and #29 closed.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Tracker'!D2:D10000)</f>
        <v/>
      </c>
      <c r="D5" t="inlineStr">
        <is>
          <t>Critical</t>
        </is>
      </c>
      <c r="E5">
        <f>COUNTIF('Project Tracker'!F2:F10000,"Critical")</f>
        <v/>
      </c>
    </row>
    <row r="6">
      <c r="A6" t="inlineStr">
        <is>
          <t>Completed</t>
        </is>
      </c>
      <c r="B6">
        <f>COUNTIF('Project Tracker'!E2:E10000,"Completed")</f>
        <v/>
      </c>
      <c r="D6" t="inlineStr">
        <is>
          <t>High</t>
        </is>
      </c>
      <c r="E6">
        <f>COUNTIF('Project Tracker'!F2:F10000,"High")</f>
        <v/>
      </c>
    </row>
    <row r="7">
      <c r="A7" t="inlineStr">
        <is>
          <t>In Progress</t>
        </is>
      </c>
      <c r="B7">
        <f>COUNTIF('Project Tracker'!E2:E10000,"In Progress")</f>
        <v/>
      </c>
      <c r="D7" t="inlineStr">
        <is>
          <t>Medium</t>
        </is>
      </c>
      <c r="E7">
        <f>COUNTIF('Project Tracker'!F2:F10000,"Medium")</f>
        <v/>
      </c>
    </row>
    <row r="8">
      <c r="A8" t="inlineStr">
        <is>
          <t>Blocked</t>
        </is>
      </c>
      <c r="B8">
        <f>COUNTIF('Project Tracker'!E2:E10000,"Blocked")</f>
        <v/>
      </c>
      <c r="D8" t="inlineStr">
        <is>
          <t>Low</t>
        </is>
      </c>
      <c r="E8">
        <f>COUNTIF('Project Tracker'!F2:F10000,"Low")</f>
        <v/>
      </c>
    </row>
    <row r="9">
      <c r="A9" t="inlineStr">
        <is>
          <t>Not Started</t>
        </is>
      </c>
      <c r="B9">
        <f>COUNTIF('Project Tracker'!E2:E10000,"Not Started")</f>
        <v/>
      </c>
      <c r="D9" t="inlineStr">
        <is>
          <t>Deferred</t>
        </is>
      </c>
      <c r="E9">
        <f>COUNTIF('Project Tracker'!E2:E10000,"Deferred")</f>
        <v/>
      </c>
    </row>
    <row r="10">
      <c r="A10" t="inlineStr">
        <is>
          <t>Waiting on Google Support</t>
        </is>
      </c>
      <c r="B10">
        <f>COUNTIF('Project Tracker'!E2:E10000,"Waiting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2026-08-13T22:45:32Z</dcterms:modified>
</cp:coreProperties>
</file>
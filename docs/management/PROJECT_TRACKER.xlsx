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  <sheet name="External Dependencies" sheetId="5" state="visible" r:id="rId5"/>
    <sheet name="Completed" sheetId="6" state="visible" r:id="rId6"/>
    <sheet name="In Progress" sheetId="7" state="visible" r:id="rId7"/>
    <sheet name="Not Started" sheetId="8" state="visible" r:id="rId8"/>
    <sheet name="Blocked" sheetId="9" state="visible" r:id="rId9"/>
    <sheet name="Deferred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t="inlineStr">
        <is>
          <t>NOTE:</t>
        </is>
      </c>
      <c r="D2" t="inlineStr">
        <is>
          <t>All rows moved to the Completed / In Progress / Not Started / Blocked / Deferred tabs (2026-08-24). This tab now holds only the header.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COUNTA('Completed'!D2:D10000)+COUNTA('In Progress'!D2:D10000)+COUNTA('Not Started'!D2:D10000)+COUNTA('Blocked'!D2:D10000)+COUNTA('Deferred'!D2:D10000)</f>
        <v/>
      </c>
      <c r="D5" t="inlineStr">
        <is>
          <t>Critical</t>
        </is>
      </c>
      <c r="E5">
        <f>COUNTIF('Completed'!F2:F10000,"Critical")+COUNTIF('In Progress'!F2:F10000,"Critical")+COUNTIF('Not Started'!F2:F10000,"Critical")+COUNTIF('Blocked'!F2:F10000,"Critical")+COUNTIF('Deferred'!F2:F10000,"Critical")</f>
        <v/>
      </c>
    </row>
    <row r="6">
      <c r="A6" t="inlineStr">
        <is>
          <t>Completed</t>
        </is>
      </c>
      <c r="B6">
        <f>COUNTA('Completed'!D2:D10000)</f>
        <v/>
      </c>
      <c r="D6" t="inlineStr">
        <is>
          <t>High</t>
        </is>
      </c>
      <c r="E6">
        <f>COUNTIF('Completed'!F2:F10000,"High")+COUNTIF('In Progress'!F2:F10000,"High")+COUNTIF('Not Started'!F2:F10000,"High")+COUNTIF('Blocked'!F2:F10000,"High")+COUNTIF('Deferred'!F2:F10000,"High")</f>
        <v/>
      </c>
    </row>
    <row r="7">
      <c r="A7" t="inlineStr">
        <is>
          <t>In Progress</t>
        </is>
      </c>
      <c r="B7">
        <f>COUNTA('In Progress'!D2:D10000)</f>
        <v/>
      </c>
      <c r="D7" t="inlineStr">
        <is>
          <t>Medium</t>
        </is>
      </c>
      <c r="E7">
        <f>COUNTIF('Completed'!F2:F10000,"Medium")+COUNTIF('In Progress'!F2:F10000,"Medium")+COUNTIF('Not Started'!F2:F10000,"Medium")+COUNTIF('Blocked'!F2:F10000,"Medium")+COUNTIF('Deferred'!F2:F10000,"Medium")</f>
        <v/>
      </c>
    </row>
    <row r="8">
      <c r="A8" t="inlineStr">
        <is>
          <t>Blocked</t>
        </is>
      </c>
      <c r="B8">
        <f>COUNTA('Blocked'!D2:D10000)</f>
        <v/>
      </c>
      <c r="D8" t="inlineStr">
        <is>
          <t>Low</t>
        </is>
      </c>
      <c r="E8">
        <f>COUNTIF('Completed'!F2:F10000,"Low")+COUNTIF('In Progress'!F2:F10000,"Low")+COUNTIF('Not Started'!F2:F10000,"Low")+COUNTIF('Blocked'!F2:F10000,"Low")+COUNTIF('Deferred'!F2:F10000,"Low")</f>
        <v/>
      </c>
    </row>
    <row r="9">
      <c r="A9" t="inlineStr">
        <is>
          <t>Not Started</t>
        </is>
      </c>
      <c r="B9">
        <f>COUNTA('Not Started'!D2:D10000)</f>
        <v/>
      </c>
      <c r="D9" t="inlineStr">
        <is>
          <t>Deferred</t>
        </is>
      </c>
      <c r="E9">
        <f>COUNTA('Deferred'!D2:D10000)</f>
        <v/>
      </c>
    </row>
    <row r="10">
      <c r="A10" t="inlineStr">
        <is>
          <t>Waiting on Google Support</t>
        </is>
      </c>
      <c r="B10">
        <f>COUNTIF('Completed'!E2:E10000,"Waiting on Google Support")+COUNTIF('In Progress'!E2:E10000,"Waiting on Google Support")+COUNTIF('Not Started'!E2:E10000,"Waiting on Google Support")+COUNTIF('Blocked'!E2:E10000,"Waiting on Google Support")+COUNTIF('Deferred'!E2:E10000,"Waiting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COUNTIFS('Completed'!B:B,A2,'Completed'!C:C,B2)+COUNTIFS('In Progress'!B:B,A2,'In Progress'!C:C,B2)+COUNTIFS('Not Started'!B:B,A2,'Not Started'!C:C,B2)+COUNTIFS('Blocked'!B:B,A2,'Blocked'!C:C,B2)+COUNTIFS('Deferred'!B:B,A2,'Deferred'!C:C,B2)</f>
        <v/>
      </c>
      <c r="D2" s="12">
        <f>COUNTIFS('Completed'!B:B,A2,'Completed'!C:C,B2)</f>
        <v/>
      </c>
      <c r="E2" s="12">
        <f>COUNTIFS('In Progress'!B:B,A2,'In Progress'!C:C,B2)</f>
        <v/>
      </c>
      <c r="F2" s="12">
        <f>COUNTIFS('Blocked'!B:B,A2,'Blocked'!C:C,B2)</f>
        <v/>
      </c>
      <c r="G2" s="12">
        <f>COUNTIFS('Not Started'!B:B,A2,'Not Started'!C:C,B2)</f>
        <v/>
      </c>
      <c r="H2">
        <f>COUNTIFS('Completed'!B:B,A2,'Completed'!C:C,B2,'Completed'!E:E,"Waiting on Google Support")+COUNTIFS('In Progress'!B:B,A2,'In Progress'!C:C,B2,'In Progress'!E:E,"Waiting on Google Support")+COUNTIFS('Not Started'!B:B,A2,'Not Started'!C:C,B2,'Not Started'!E:E,"Waiting on Google Support")+COUNTIFS('Blocked'!B:B,A2,'Blocked'!C:C,B2,'Blocked'!E:E,"Waiting on Google Support")+COUNTIFS('Deferred'!B:B,A2,'Deferred'!C:C,B2,'Deferred'!E:E,"Waiting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COUNTIFS('Completed'!B:B,A3,'Completed'!C:C,B3)+COUNTIFS('In Progress'!B:B,A3,'In Progress'!C:C,B3)+COUNTIFS('Not Started'!B:B,A3,'Not Started'!C:C,B3)+COUNTIFS('Blocked'!B:B,A3,'Blocked'!C:C,B3)+COUNTIFS('Deferred'!B:B,A3,'Deferred'!C:C,B3)</f>
        <v/>
      </c>
      <c r="D3" s="12">
        <f>COUNTIFS('Completed'!B:B,A3,'Completed'!C:C,B3)</f>
        <v/>
      </c>
      <c r="E3" s="12">
        <f>COUNTIFS('In Progress'!B:B,A3,'In Progress'!C:C,B3)</f>
        <v/>
      </c>
      <c r="F3" s="12">
        <f>COUNTIFS('Blocked'!B:B,A3,'Blocked'!C:C,B3)</f>
        <v/>
      </c>
      <c r="G3" s="12">
        <f>COUNTIFS('Not Started'!B:B,A3,'Not Started'!C:C,B3)</f>
        <v/>
      </c>
      <c r="H3">
        <f>COUNTIFS('Completed'!B:B,A3,'Completed'!C:C,B3,'Completed'!E:E,"Waiting on Google Support")+COUNTIFS('In Progress'!B:B,A3,'In Progress'!C:C,B3,'In Progress'!E:E,"Waiting on Google Support")+COUNTIFS('Not Started'!B:B,A3,'Not Started'!C:C,B3,'Not Started'!E:E,"Waiting on Google Support")+COUNTIFS('Blocked'!B:B,A3,'Blocked'!C:C,B3,'Blocked'!E:E,"Waiting on Google Support")+COUNTIFS('Deferred'!B:B,A3,'Deferred'!C:C,B3,'Deferred'!E:E,"Waiting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COUNTIFS('Completed'!B:B,A4,'Completed'!C:C,B4)+COUNTIFS('In Progress'!B:B,A4,'In Progress'!C:C,B4)+COUNTIFS('Not Started'!B:B,A4,'Not Started'!C:C,B4)+COUNTIFS('Blocked'!B:B,A4,'Blocked'!C:C,B4)+COUNTIFS('Deferred'!B:B,A4,'Deferred'!C:C,B4)</f>
        <v/>
      </c>
      <c r="D4" s="12">
        <f>COUNTIFS('Completed'!B:B,A4,'Completed'!C:C,B4)</f>
        <v/>
      </c>
      <c r="E4" s="12">
        <f>COUNTIFS('In Progress'!B:B,A4,'In Progress'!C:C,B4)</f>
        <v/>
      </c>
      <c r="F4" s="12">
        <f>COUNTIFS('Blocked'!B:B,A4,'Blocked'!C:C,B4)</f>
        <v/>
      </c>
      <c r="G4" s="12">
        <f>COUNTIFS('Not Started'!B:B,A4,'Not Started'!C:C,B4)</f>
        <v/>
      </c>
      <c r="H4">
        <f>COUNTIFS('Completed'!B:B,A4,'Completed'!C:C,B4,'Completed'!E:E,"Waiting on Google Support")+COUNTIFS('In Progress'!B:B,A4,'In Progress'!C:C,B4,'In Progress'!E:E,"Waiting on Google Support")+COUNTIFS('Not Started'!B:B,A4,'Not Started'!C:C,B4,'Not Started'!E:E,"Waiting on Google Support")+COUNTIFS('Blocked'!B:B,A4,'Blocked'!C:C,B4,'Blocked'!E:E,"Waiting on Google Support")+COUNTIFS('Deferred'!B:B,A4,'Deferred'!C:C,B4,'Deferred'!E:E,"Waiting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COUNTIFS('Completed'!B:B,A5,'Completed'!C:C,B5)+COUNTIFS('In Progress'!B:B,A5,'In Progress'!C:C,B5)+COUNTIFS('Not Started'!B:B,A5,'Not Started'!C:C,B5)+COUNTIFS('Blocked'!B:B,A5,'Blocked'!C:C,B5)+COUNTIFS('Deferred'!B:B,A5,'Deferred'!C:C,B5)</f>
        <v/>
      </c>
      <c r="D5" s="12">
        <f>COUNTIFS('Completed'!B:B,A5,'Completed'!C:C,B5)</f>
        <v/>
      </c>
      <c r="E5" s="12">
        <f>COUNTIFS('In Progress'!B:B,A5,'In Progress'!C:C,B5)</f>
        <v/>
      </c>
      <c r="F5" s="12">
        <f>COUNTIFS('Blocked'!B:B,A5,'Blocked'!C:C,B5)</f>
        <v/>
      </c>
      <c r="G5" s="12">
        <f>COUNTIFS('Not Started'!B:B,A5,'Not Started'!C:C,B5)</f>
        <v/>
      </c>
      <c r="H5">
        <f>COUNTIFS('Completed'!B:B,A5,'Completed'!C:C,B5,'Completed'!E:E,"Waiting on Google Support")+COUNTIFS('In Progress'!B:B,A5,'In Progress'!C:C,B5,'In Progress'!E:E,"Waiting on Google Support")+COUNTIFS('Not Started'!B:B,A5,'Not Started'!C:C,B5,'Not Started'!E:E,"Waiting on Google Support")+COUNTIFS('Blocked'!B:B,A5,'Blocked'!C:C,B5,'Blocked'!E:E,"Waiting on Google Support")+COUNTIFS('Deferred'!B:B,A5,'Deferred'!C:C,B5,'Deferred'!E:E,"Waiting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COUNTIFS('Completed'!B:B,A6,'Completed'!C:C,B6)+COUNTIFS('In Progress'!B:B,A6,'In Progress'!C:C,B6)+COUNTIFS('Not Started'!B:B,A6,'Not Started'!C:C,B6)+COUNTIFS('Blocked'!B:B,A6,'Blocked'!C:C,B6)+COUNTIFS('Deferred'!B:B,A6,'Deferred'!C:C,B6)</f>
        <v/>
      </c>
      <c r="D6" s="12">
        <f>COUNTIFS('Completed'!B:B,A6,'Completed'!C:C,B6)</f>
        <v/>
      </c>
      <c r="E6" s="12">
        <f>COUNTIFS('In Progress'!B:B,A6,'In Progress'!C:C,B6)</f>
        <v/>
      </c>
      <c r="F6" s="12">
        <f>COUNTIFS('Blocked'!B:B,A6,'Blocked'!C:C,B6)</f>
        <v/>
      </c>
      <c r="G6" s="12">
        <f>COUNTIFS('Not Started'!B:B,A6,'Not Started'!C:C,B6)</f>
        <v/>
      </c>
      <c r="H6">
        <f>COUNTIFS('Completed'!B:B,A6,'Completed'!C:C,B6,'Completed'!E:E,"Waiting on Google Support")+COUNTIFS('In Progress'!B:B,A6,'In Progress'!C:C,B6,'In Progress'!E:E,"Waiting on Google Support")+COUNTIFS('Not Started'!B:B,A6,'Not Started'!C:C,B6,'Not Started'!E:E,"Waiting on Google Support")+COUNTIFS('Blocked'!B:B,A6,'Blocked'!C:C,B6,'Blocked'!E:E,"Waiting on Google Support")+COUNTIFS('Deferred'!B:B,A6,'Deferred'!C:C,B6,'Deferred'!E:E,"Waiting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COUNTIFS('Completed'!B:B,A7,'Completed'!C:C,B7)+COUNTIFS('In Progress'!B:B,A7,'In Progress'!C:C,B7)+COUNTIFS('Not Started'!B:B,A7,'Not Started'!C:C,B7)+COUNTIFS('Blocked'!B:B,A7,'Blocked'!C:C,B7)+COUNTIFS('Deferred'!B:B,A7,'Deferred'!C:C,B7)</f>
        <v/>
      </c>
      <c r="D7" s="12">
        <f>COUNTIFS('Completed'!B:B,A7,'Completed'!C:C,B7)</f>
        <v/>
      </c>
      <c r="E7" s="12">
        <f>COUNTIFS('In Progress'!B:B,A7,'In Progress'!C:C,B7)</f>
        <v/>
      </c>
      <c r="F7" s="12">
        <f>COUNTIFS('Blocked'!B:B,A7,'Blocked'!C:C,B7)</f>
        <v/>
      </c>
      <c r="G7" s="12">
        <f>COUNTIFS('Not Started'!B:B,A7,'Not Started'!C:C,B7)</f>
        <v/>
      </c>
      <c r="H7">
        <f>COUNTIFS('Completed'!B:B,A7,'Completed'!C:C,B7,'Completed'!E:E,"Waiting on Google Support")+COUNTIFS('In Progress'!B:B,A7,'In Progress'!C:C,B7,'In Progress'!E:E,"Waiting on Google Support")+COUNTIFS('Not Started'!B:B,A7,'Not Started'!C:C,B7,'Not Started'!E:E,"Waiting on Google Support")+COUNTIFS('Blocked'!B:B,A7,'Blocked'!C:C,B7,'Blocked'!E:E,"Waiting on Google Support")+COUNTIFS('Deferred'!B:B,A7,'Deferred'!C:C,B7,'Deferred'!E:E,"Waiting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COUNTIFS('Completed'!B:B,A8,'Completed'!C:C,B8)+COUNTIFS('In Progress'!B:B,A8,'In Progress'!C:C,B8)+COUNTIFS('Not Started'!B:B,A8,'Not Started'!C:C,B8)+COUNTIFS('Blocked'!B:B,A8,'Blocked'!C:C,B8)+COUNTIFS('Deferred'!B:B,A8,'Deferred'!C:C,B8)</f>
        <v/>
      </c>
      <c r="D8" s="12">
        <f>COUNTIFS('Completed'!B:B,A8,'Completed'!C:C,B8)</f>
        <v/>
      </c>
      <c r="E8" s="12">
        <f>COUNTIFS('In Progress'!B:B,A8,'In Progress'!C:C,B8)</f>
        <v/>
      </c>
      <c r="F8" s="12">
        <f>COUNTIFS('Blocked'!B:B,A8,'Blocked'!C:C,B8)</f>
        <v/>
      </c>
      <c r="G8" s="12">
        <f>COUNTIFS('Not Started'!B:B,A8,'Not Started'!C:C,B8)</f>
        <v/>
      </c>
      <c r="H8">
        <f>COUNTIFS('Completed'!B:B,A8,'Completed'!C:C,B8,'Completed'!E:E,"Waiting on Google Support")+COUNTIFS('In Progress'!B:B,A8,'In Progress'!C:C,B8,'In Progress'!E:E,"Waiting on Google Support")+COUNTIFS('Not Started'!B:B,A8,'Not Started'!C:C,B8,'Not Started'!E:E,"Waiting on Google Support")+COUNTIFS('Blocked'!B:B,A8,'Blocked'!C:C,B8,'Blocked'!E:E,"Waiting on Google Support")+COUNTIFS('Deferred'!B:B,A8,'Deferred'!C:C,B8,'Deferred'!E:E,"Waiting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COUNTIFS('Completed'!B:B,A9,'Completed'!C:C,B9)+COUNTIFS('In Progress'!B:B,A9,'In Progress'!C:C,B9)+COUNTIFS('Not Started'!B:B,A9,'Not Started'!C:C,B9)+COUNTIFS('Blocked'!B:B,A9,'Blocked'!C:C,B9)+COUNTIFS('Deferred'!B:B,A9,'Deferred'!C:C,B9)</f>
        <v/>
      </c>
      <c r="D9" s="12">
        <f>COUNTIFS('Completed'!B:B,A9,'Completed'!C:C,B9)</f>
        <v/>
      </c>
      <c r="E9" s="12">
        <f>COUNTIFS('In Progress'!B:B,A9,'In Progress'!C:C,B9)</f>
        <v/>
      </c>
      <c r="F9" s="12">
        <f>COUNTIFS('Blocked'!B:B,A9,'Blocked'!C:C,B9)</f>
        <v/>
      </c>
      <c r="G9" s="12">
        <f>COUNTIFS('Not Started'!B:B,A9,'Not Started'!C:C,B9)</f>
        <v/>
      </c>
      <c r="H9">
        <f>COUNTIFS('Completed'!B:B,A9,'Completed'!C:C,B9,'Completed'!E:E,"Waiting on Google Support")+COUNTIFS('In Progress'!B:B,A9,'In Progress'!C:C,B9,'In Progress'!E:E,"Waiting on Google Support")+COUNTIFS('Not Started'!B:B,A9,'Not Started'!C:C,B9,'Not Started'!E:E,"Waiting on Google Support")+COUNTIFS('Blocked'!B:B,A9,'Blocked'!C:C,B9,'Blocked'!E:E,"Waiting on Google Support")+COUNTIFS('Deferred'!B:B,A9,'Deferred'!C:C,B9,'Deferred'!E:E,"Waiting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COUNTIFS('Completed'!B:B,A10,'Completed'!C:C,B10)+COUNTIFS('In Progress'!B:B,A10,'In Progress'!C:C,B10)+COUNTIFS('Not Started'!B:B,A10,'Not Started'!C:C,B10)+COUNTIFS('Blocked'!B:B,A10,'Blocked'!C:C,B10)+COUNTIFS('Deferred'!B:B,A10,'Deferred'!C:C,B10)</f>
        <v/>
      </c>
      <c r="D10" s="12">
        <f>COUNTIFS('Completed'!B:B,A10,'Completed'!C:C,B10)</f>
        <v/>
      </c>
      <c r="E10" s="12">
        <f>COUNTIFS('In Progress'!B:B,A10,'In Progress'!C:C,B10)</f>
        <v/>
      </c>
      <c r="F10" s="12">
        <f>COUNTIFS('Blocked'!B:B,A10,'Blocked'!C:C,B10)</f>
        <v/>
      </c>
      <c r="G10" s="12">
        <f>COUNTIFS('Not Started'!B:B,A10,'Not Started'!C:C,B10)</f>
        <v/>
      </c>
      <c r="H10">
        <f>COUNTIFS('Completed'!B:B,A10,'Completed'!C:C,B10,'Completed'!E:E,"Waiting on Google Support")+COUNTIFS('In Progress'!B:B,A10,'In Progress'!C:C,B10,'In Progress'!E:E,"Waiting on Google Support")+COUNTIFS('Not Started'!B:B,A10,'Not Started'!C:C,B10,'Not Started'!E:E,"Waiting on Google Support")+COUNTIFS('Blocked'!B:B,A10,'Blocked'!C:C,B10,'Blocked'!E:E,"Waiting on Google Support")+COUNTIFS('Deferred'!B:B,A10,'Deferred'!C:C,B10,'Deferred'!E:E,"Waiting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COUNTIFS('Completed'!B:B,A11,'Completed'!C:C,B11)+COUNTIFS('In Progress'!B:B,A11,'In Progress'!C:C,B11)+COUNTIFS('Not Started'!B:B,A11,'Not Started'!C:C,B11)+COUNTIFS('Blocked'!B:B,A11,'Blocked'!C:C,B11)+COUNTIFS('Deferred'!B:B,A11,'Deferred'!C:C,B11)</f>
        <v/>
      </c>
      <c r="D11" s="12">
        <f>COUNTIFS('Completed'!B:B,A11,'Completed'!C:C,B11)</f>
        <v/>
      </c>
      <c r="E11" s="12">
        <f>COUNTIFS('In Progress'!B:B,A11,'In Progress'!C:C,B11)</f>
        <v/>
      </c>
      <c r="F11" s="12">
        <f>COUNTIFS('Blocked'!B:B,A11,'Blocked'!C:C,B11)</f>
        <v/>
      </c>
      <c r="G11" s="12">
        <f>COUNTIFS('Not Started'!B:B,A11,'Not Started'!C:C,B11)</f>
        <v/>
      </c>
      <c r="H11">
        <f>COUNTIFS('Completed'!B:B,A11,'Completed'!C:C,B11,'Completed'!E:E,"Waiting on Google Support")+COUNTIFS('In Progress'!B:B,A11,'In Progress'!C:C,B11,'In Progress'!E:E,"Waiting on Google Support")+COUNTIFS('Not Started'!B:B,A11,'Not Started'!C:C,B11,'Not Started'!E:E,"Waiting on Google Support")+COUNTIFS('Blocked'!B:B,A11,'Blocked'!C:C,B11,'Blocked'!E:E,"Waiting on Google Support")+COUNTIFS('Deferred'!B:B,A11,'Deferred'!C:C,B11,'Deferred'!E:E,"Waiting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COUNTIFS('Completed'!B:B,A12,'Completed'!C:C,B12)+COUNTIFS('In Progress'!B:B,A12,'In Progress'!C:C,B12)+COUNTIFS('Not Started'!B:B,A12,'Not Started'!C:C,B12)+COUNTIFS('Blocked'!B:B,A12,'Blocked'!C:C,B12)+COUNTIFS('Deferred'!B:B,A12,'Deferred'!C:C,B12)</f>
        <v/>
      </c>
      <c r="D12" s="12">
        <f>COUNTIFS('Completed'!B:B,A12,'Completed'!C:C,B12)</f>
        <v/>
      </c>
      <c r="E12" s="12">
        <f>COUNTIFS('In Progress'!B:B,A12,'In Progress'!C:C,B12)</f>
        <v/>
      </c>
      <c r="F12" s="12">
        <f>COUNTIFS('Blocked'!B:B,A12,'Blocked'!C:C,B12)</f>
        <v/>
      </c>
      <c r="G12" s="12">
        <f>COUNTIFS('Not Started'!B:B,A12,'Not Started'!C:C,B12)</f>
        <v/>
      </c>
      <c r="H12">
        <f>COUNTIFS('Completed'!B:B,A12,'Completed'!C:C,B12,'Completed'!E:E,"Waiting on Google Support")+COUNTIFS('In Progress'!B:B,A12,'In Progress'!C:C,B12,'In Progress'!E:E,"Waiting on Google Support")+COUNTIFS('Not Started'!B:B,A12,'Not Started'!C:C,B12,'Not Started'!E:E,"Waiting on Google Support")+COUNTIFS('Blocked'!B:B,A12,'Blocked'!C:C,B12,'Blocked'!E:E,"Waiting on Google Support")+COUNTIFS('Deferred'!B:B,A12,'Deferred'!C:C,B12,'Deferred'!E:E,"Waiting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COUNTIFS('Completed'!B:B,A13,'Completed'!C:C,B13)+COUNTIFS('In Progress'!B:B,A13,'In Progress'!C:C,B13)+COUNTIFS('Not Started'!B:B,A13,'Not Started'!C:C,B13)+COUNTIFS('Blocked'!B:B,A13,'Blocked'!C:C,B13)+COUNTIFS('Deferred'!B:B,A13,'Deferred'!C:C,B13)</f>
        <v/>
      </c>
      <c r="D13" s="12">
        <f>COUNTIFS('Completed'!B:B,A13,'Completed'!C:C,B13)</f>
        <v/>
      </c>
      <c r="E13" s="12">
        <f>COUNTIFS('In Progress'!B:B,A13,'In Progress'!C:C,B13)</f>
        <v/>
      </c>
      <c r="F13" s="12">
        <f>COUNTIFS('Blocked'!B:B,A13,'Blocked'!C:C,B13)</f>
        <v/>
      </c>
      <c r="G13" s="12">
        <f>COUNTIFS('Not Started'!B:B,A13,'Not Started'!C:C,B13)</f>
        <v/>
      </c>
      <c r="H13">
        <f>COUNTIFS('Completed'!B:B,A13,'Completed'!C:C,B13,'Completed'!E:E,"Waiting on Google Support")+COUNTIFS('In Progress'!B:B,A13,'In Progress'!C:C,B13,'In Progress'!E:E,"Waiting on Google Support")+COUNTIFS('Not Started'!B:B,A13,'Not Started'!C:C,B13,'Not Started'!E:E,"Waiting on Google Support")+COUNTIFS('Blocked'!B:B,A13,'Blocked'!C:C,B13,'Blocked'!E:E,"Waiting on Google Support")+COUNTIFS('Deferred'!B:B,A13,'Deferred'!C:C,B13,'Deferred'!E:E,"Waiting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COUNTIFS('Completed'!B:B,A14,'Completed'!C:C,B14)+COUNTIFS('In Progress'!B:B,A14,'In Progress'!C:C,B14)+COUNTIFS('Not Started'!B:B,A14,'Not Started'!C:C,B14)+COUNTIFS('Blocked'!B:B,A14,'Blocked'!C:C,B14)+COUNTIFS('Deferred'!B:B,A14,'Deferred'!C:C,B14)</f>
        <v/>
      </c>
      <c r="D14" s="12">
        <f>COUNTIFS('Completed'!B:B,A14,'Completed'!C:C,B14)</f>
        <v/>
      </c>
      <c r="E14" s="12">
        <f>COUNTIFS('In Progress'!B:B,A14,'In Progress'!C:C,B14)</f>
        <v/>
      </c>
      <c r="F14" s="12">
        <f>COUNTIFS('Blocked'!B:B,A14,'Blocked'!C:C,B14)</f>
        <v/>
      </c>
      <c r="G14" s="12">
        <f>COUNTIFS('Not Started'!B:B,A14,'Not Started'!C:C,B14)</f>
        <v/>
      </c>
      <c r="H14">
        <f>COUNTIFS('Completed'!B:B,A14,'Completed'!C:C,B14,'Completed'!E:E,"Waiting on Google Support")+COUNTIFS('In Progress'!B:B,A14,'In Progress'!C:C,B14,'In Progress'!E:E,"Waiting on Google Support")+COUNTIFS('Not Started'!B:B,A14,'Not Started'!C:C,B14,'Not Started'!E:E,"Waiting on Google Support")+COUNTIFS('Blocked'!B:B,A14,'Blocked'!C:C,B14,'Blocked'!E:E,"Waiting on Google Support")+COUNTIFS('Deferred'!B:B,A14,'Deferred'!C:C,B14,'Deferred'!E:E,"Waiting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COUNTIFS('Completed'!B:B,A15,'Completed'!C:C,B15)+COUNTIFS('In Progress'!B:B,A15,'In Progress'!C:C,B15)+COUNTIFS('Not Started'!B:B,A15,'Not Started'!C:C,B15)+COUNTIFS('Blocked'!B:B,A15,'Blocked'!C:C,B15)+COUNTIFS('Deferred'!B:B,A15,'Deferred'!C:C,B15)</f>
        <v/>
      </c>
      <c r="D15" s="12">
        <f>COUNTIFS('Completed'!B:B,A15,'Completed'!C:C,B15)</f>
        <v/>
      </c>
      <c r="E15" s="12">
        <f>COUNTIFS('In Progress'!B:B,A15,'In Progress'!C:C,B15)</f>
        <v/>
      </c>
      <c r="F15" s="12">
        <f>COUNTIFS('Blocked'!B:B,A15,'Blocked'!C:C,B15)</f>
        <v/>
      </c>
      <c r="G15" s="12">
        <f>COUNTIFS('Not Started'!B:B,A15,'Not Started'!C:C,B15)</f>
        <v/>
      </c>
      <c r="H15">
        <f>COUNTIFS('Completed'!B:B,A15,'Completed'!C:C,B15,'Completed'!E:E,"Waiting on Google Support")+COUNTIFS('In Progress'!B:B,A15,'In Progress'!C:C,B15,'In Progress'!E:E,"Waiting on Google Support")+COUNTIFS('Not Started'!B:B,A15,'Not Started'!C:C,B15,'Not Started'!E:E,"Waiting on Google Support")+COUNTIFS('Blocked'!B:B,A15,'Blocked'!C:C,B15,'Blocked'!E:E,"Waiting on Google Support")+COUNTIFS('Deferred'!B:B,A15,'Deferred'!C:C,B15,'Deferred'!E:E,"Waiting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COUNTIFS('Completed'!B:B,A16,'Completed'!C:C,B16)+COUNTIFS('In Progress'!B:B,A16,'In Progress'!C:C,B16)+COUNTIFS('Not Started'!B:B,A16,'Not Started'!C:C,B16)+COUNTIFS('Blocked'!B:B,A16,'Blocked'!C:C,B16)+COUNTIFS('Deferred'!B:B,A16,'Deferred'!C:C,B16)</f>
        <v/>
      </c>
      <c r="D16" s="12">
        <f>COUNTIFS('Completed'!B:B,A16,'Completed'!C:C,B16)</f>
        <v/>
      </c>
      <c r="E16" s="12">
        <f>COUNTIFS('In Progress'!B:B,A16,'In Progress'!C:C,B16)</f>
        <v/>
      </c>
      <c r="F16" s="12">
        <f>COUNTIFS('Blocked'!B:B,A16,'Blocked'!C:C,B16)</f>
        <v/>
      </c>
      <c r="G16" s="12">
        <f>COUNTIFS('Not Started'!B:B,A16,'Not Started'!C:C,B16)</f>
        <v/>
      </c>
      <c r="H16">
        <f>COUNTIFS('Completed'!B:B,A16,'Completed'!C:C,B16,'Completed'!E:E,"Waiting on Google Support")+COUNTIFS('In Progress'!B:B,A16,'In Progress'!C:C,B16,'In Progress'!E:E,"Waiting on Google Support")+COUNTIFS('Not Started'!B:B,A16,'Not Started'!C:C,B16,'Not Started'!E:E,"Waiting on Google Support")+COUNTIFS('Blocked'!B:B,A16,'Blocked'!C:C,B16,'Blocked'!E:E,"Waiting on Google Support")+COUNTIFS('Deferred'!B:B,A16,'Deferred'!C:C,B16,'Deferred'!E:E,"Waiting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COUNTIFS('Completed'!B:B,A17,'Completed'!C:C,B17)+COUNTIFS('In Progress'!B:B,A17,'In Progress'!C:C,B17)+COUNTIFS('Not Started'!B:B,A17,'Not Started'!C:C,B17)+COUNTIFS('Blocked'!B:B,A17,'Blocked'!C:C,B17)+COUNTIFS('Deferred'!B:B,A17,'Deferred'!C:C,B17)</f>
        <v/>
      </c>
      <c r="D17" s="12">
        <f>COUNTIFS('Completed'!B:B,A17,'Completed'!C:C,B17)</f>
        <v/>
      </c>
      <c r="E17" s="12">
        <f>COUNTIFS('In Progress'!B:B,A17,'In Progress'!C:C,B17)</f>
        <v/>
      </c>
      <c r="F17" s="12">
        <f>COUNTIFS('Blocked'!B:B,A17,'Blocked'!C:C,B17)</f>
        <v/>
      </c>
      <c r="G17" s="12">
        <f>COUNTIFS('Not Started'!B:B,A17,'Not Started'!C:C,B17)</f>
        <v/>
      </c>
      <c r="H17">
        <f>COUNTIFS('Completed'!B:B,A17,'Completed'!C:C,B17,'Completed'!E:E,"Waiting on Google Support")+COUNTIFS('In Progress'!B:B,A17,'In Progress'!C:C,B17,'In Progress'!E:E,"Waiting on Google Support")+COUNTIFS('Not Started'!B:B,A17,'Not Started'!C:C,B17,'Not Started'!E:E,"Waiting on Google Support")+COUNTIFS('Blocked'!B:B,A17,'Blocked'!C:C,B17,'Blocked'!E:E,"Waiting on Google Support")+COUNTIFS('Deferred'!B:B,A17,'Deferred'!C:C,B17,'Deferred'!E:E,"Waiting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Rows now live on the Completed / In Progress / Not Started / Blocked / Deferred tabs (split 2026-08-24) -- update Status/Owner/Target Date there; move a row to a different tab if its Status changes. Summaries (Phase Summary, Dashboard) update automatically across all 5 tabs.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External ID</t>
        </is>
      </c>
      <c r="B1" t="inlineStr">
        <is>
          <t>Area</t>
        </is>
      </c>
      <c r="C1" t="inlineStr">
        <is>
          <t>Environment</t>
        </is>
      </c>
      <c r="D1" t="inlineStr">
        <is>
          <t>Description</t>
        </is>
      </c>
      <c r="E1" t="inlineStr">
        <is>
          <t>Impact</t>
        </is>
      </c>
      <c r="F1" t="inlineStr">
        <is>
          <t>Owner</t>
        </is>
      </c>
      <c r="G1" t="inlineStr">
        <is>
          <t>Status</t>
        </is>
      </c>
      <c r="H1" t="inlineStr">
        <is>
          <t>Production Blocker</t>
        </is>
      </c>
      <c r="I1" t="inlineStr">
        <is>
          <t>Required Action</t>
        </is>
      </c>
      <c r="J1" t="inlineStr">
        <is>
          <t>Validation Required</t>
        </is>
      </c>
      <c r="K1" t="inlineStr">
        <is>
          <t>Evidence / Notes</t>
        </is>
      </c>
    </row>
    <row r="2">
      <c r="A2" t="inlineStr">
        <is>
          <t>EXT-001</t>
        </is>
      </c>
      <c r="B2" t="inlineStr">
        <is>
          <t>K8s RBAC</t>
        </is>
      </c>
      <c r="C2" t="inlineStr">
        <is>
          <t>Work cluster: multitenant-us-east4-non-production, ns sre-agent-poc</t>
        </is>
      </c>
      <c r="D2" t="inlineStr">
        <is>
          <t>Agent needs read-only pod-log permission in the work namespace</t>
        </is>
      </c>
      <c r="E2" t="inlineStr">
        <is>
          <t>get_k8s_logs cannot retrieve application logs on this cluster</t>
        </is>
      </c>
      <c r="G2" t="inlineStr">
        <is>
          <t>Open</t>
        </is>
      </c>
      <c r="H2" t="inlineStr">
        <is>
          <t>Yes - Critical</t>
        </is>
      </c>
      <c r="I2" t="inlineStr">
        <is>
          <t>Grant least-privilege RBAC per the manual steps already provided (Role+RoleBinding, get/list/watch on pods, pods/log, events)</t>
        </is>
      </c>
      <c r="J2" t="inlineStr">
        <is>
          <t>A real get_k8s_logs call returns requested pod/container logs, not an auth error</t>
        </is>
      </c>
      <c r="K2" t="inlineStr">
        <is>
          <t>Environment onboarding item, not a sre-agent-gateway code bug. Manual remediation steps already provided separately. Not modified from this repo.</t>
        </is>
      </c>
    </row>
    <row r="3">
      <c r="A3" t="inlineStr">
        <is>
          <t>EXT-002</t>
        </is>
      </c>
      <c r="B3" t="inlineStr">
        <is>
          <t>Cluster onboarding</t>
        </is>
      </c>
      <c r="C3" t="inlineStr">
        <is>
          <t>Work environment generally</t>
        </is>
      </c>
      <c r="D3" t="inlineStr">
        <is>
          <t>Need a repeatable minimum-permission model so an engineer doesn't rediscover IAM/RBAC requirements per cluster</t>
        </is>
      </c>
      <c r="E3" t="inlineStr">
        <is>
          <t>Slower, error-prone onboarding of each new work cluster</t>
        </is>
      </c>
      <c r="G3" t="inlineStr">
        <is>
          <t>Open</t>
        </is>
      </c>
      <c r="H3" t="inlineStr">
        <is>
          <t>No - process gap, not a hard blocker for Milestone 1</t>
        </is>
      </c>
      <c r="I3" t="inlineStr">
        <is>
          <t>Document the minimum RBAC/IAM template (based on k8s/rbac.yaml's real, applied pattern) as a reusable checklist</t>
        </is>
      </c>
      <c r="J3" t="inlineStr">
        <is>
          <t>A second engineer onboards a cluster using only the documented steps, no rediscovery</t>
        </is>
      </c>
      <c r="K3" t="inlineStr">
        <is>
          <t>Ties to tracker row 72/77 (Cluster onboarding workflow, repeatable onboarding documentation)</t>
        </is>
      </c>
    </row>
    <row r="4">
      <c r="A4" t="inlineStr">
        <is>
          <t>EXT-003</t>
        </is>
      </c>
      <c r="B4" t="inlineStr">
        <is>
          <t>Multi-container evidence</t>
        </is>
      </c>
      <c r="C4" t="inlineStr">
        <is>
          <t>Work cluster (observed during real testing)</t>
        </is>
      </c>
      <c r="D4" t="inlineStr">
        <is>
          <t>Multi-container pods (app + Istio sidecar) affected evidence selection during real testing. Confirmed 2026-08-22: ALL workloads on target GKE Autopilot clusters run an Istio sidecar.</t>
        </is>
      </c>
      <c r="E4" t="inlineStr">
        <is>
          <t>Risk of incorrect RCA attribution when the wrong container's evidence is used</t>
        </is>
      </c>
      <c r="G4" t="inlineStr">
        <is>
          <t>Open</t>
        </is>
      </c>
      <c r="H4" t="inlineStr">
        <is>
          <t>Yes - Critical (every workload is affected, not an edge case)</t>
        </is>
      </c>
      <c r="I4" t="inlineStr">
        <is>
          <t>Internal fix tracked as tracker row 158 (Container-aware evidence collection and attribution); this row records the environment observation that made it a confirmed Milestone-1 requirement</t>
        </is>
      </c>
      <c r="J4" t="inlineStr">
        <is>
          <t>A controlled multi-container incident proves the agent selects/attributes evidence to the correct container and produces no false RCA</t>
        </is>
      </c>
      <c r="K4" t="inlineStr">
        <is>
          <t>Confirms tracker row 158's code gap is real in practice, not just in theory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1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Capture and document the known-good deployment</t>
        </is>
      </c>
      <c r="E2" t="inlineStr">
        <is>
          <t>Completed</t>
        </is>
      </c>
      <c r="F2" t="inlineStr">
        <is>
          <t>High</t>
        </is>
      </c>
      <c r="I2" t="inlineStr">
        <is>
          <t>Known-good deployment documented.</t>
        </is>
      </c>
    </row>
    <row r="3">
      <c r="A3" t="n">
        <v>3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Back up/reference Agent Engine, Agent Identity, Agent Gateway and MCP configurations</t>
        </is>
      </c>
      <c r="E3" t="inlineStr">
        <is>
          <t>Completed</t>
        </is>
      </c>
      <c r="F3" t="inlineStr">
        <is>
          <t>High</t>
        </is>
      </c>
      <c r="I3" t="inlineStr">
        <is>
          <t>Configuration and architecture references exist.</t>
        </is>
      </c>
    </row>
    <row r="4">
      <c r="A4" t="n">
        <v>12</v>
      </c>
      <c r="B4" t="inlineStr">
        <is>
          <t>Phase 1</t>
        </is>
      </c>
      <c r="C4" t="inlineStr">
        <is>
          <t>Production Readiness</t>
        </is>
      </c>
      <c r="D4" t="inlineStr">
        <is>
          <t>Validate Agent Identity architecture</t>
        </is>
      </c>
      <c r="E4" t="inlineStr">
        <is>
          <t>Completed</t>
        </is>
      </c>
      <c r="F4" t="inlineStr">
        <is>
          <t>High</t>
        </is>
      </c>
      <c r="I4" t="inlineStr">
        <is>
          <t>Implemented.</t>
        </is>
      </c>
    </row>
    <row r="5">
      <c r="A5" t="n">
        <v>14</v>
      </c>
      <c r="B5" t="inlineStr">
        <is>
          <t>Phase 1</t>
        </is>
      </c>
      <c r="C5" t="inlineStr">
        <is>
          <t>Production Readiness</t>
        </is>
      </c>
      <c r="D5" t="inlineStr">
        <is>
          <t>Confirm Kubernetes access is read-only</t>
        </is>
      </c>
      <c r="E5" t="inlineStr">
        <is>
          <t>Completed</t>
        </is>
      </c>
      <c r="F5" t="inlineStr">
        <is>
          <t>Critical</t>
        </is>
      </c>
      <c r="I5" t="inlineStr">
        <is>
          <t>Read-only controls implemented.</t>
        </is>
      </c>
    </row>
    <row r="6">
      <c r="A6" t="n">
        <v>18</v>
      </c>
      <c r="B6" t="inlineStr">
        <is>
          <t>Phase 2</t>
        </is>
      </c>
      <c r="C6" t="inlineStr">
        <is>
          <t>Agent Gateway &amp; Model Armor</t>
        </is>
      </c>
      <c r="D6" t="inlineStr">
        <is>
          <t>Document Agent Gateway certificate issue and confirmed fix</t>
        </is>
      </c>
      <c r="E6" t="inlineStr">
        <is>
          <t>Completed</t>
        </is>
      </c>
      <c r="F6" t="inlineStr">
        <is>
          <t>Medium</t>
        </is>
      </c>
      <c r="I6" t="inlineStr">
        <is>
          <t>Earlier issue no longer blocks Terraform-managed path.</t>
        </is>
      </c>
    </row>
    <row r="7">
      <c r="A7" t="n">
        <v>19</v>
      </c>
      <c r="B7" t="inlineStr">
        <is>
          <t>Phase 2</t>
        </is>
      </c>
      <c r="C7" t="inlineStr">
        <is>
          <t>Agent Gateway &amp; Model Armor</t>
        </is>
      </c>
      <c r="D7" t="inlineStr">
        <is>
          <t>Confirm current Agent Gateway configuration</t>
        </is>
      </c>
      <c r="E7" t="inlineStr">
        <is>
          <t>Completed</t>
        </is>
      </c>
      <c r="F7" t="inlineStr">
        <is>
          <t>High</t>
        </is>
      </c>
      <c r="I7" t="inlineStr">
        <is>
          <t>Gateway deployed and working.</t>
        </is>
      </c>
    </row>
    <row r="8">
      <c r="A8" t="n">
        <v>27</v>
      </c>
      <c r="B8" t="inlineStr">
        <is>
          <t>Phase 3</t>
        </is>
      </c>
      <c r="C8" t="inlineStr">
        <is>
          <t>RCA Output &amp; Evidence</t>
        </is>
      </c>
      <c r="D8" t="inlineStr">
        <is>
          <t>Evidence-backed RCA</t>
        </is>
      </c>
      <c r="E8" t="inlineStr">
        <is>
          <t>Completed</t>
        </is>
      </c>
      <c r="F8" t="inlineStr">
        <is>
          <t>Critical</t>
        </is>
      </c>
      <c r="I8" t="inlineStr">
        <is>
          <t>Implemented.</t>
        </is>
      </c>
    </row>
    <row r="9">
      <c r="A9" t="n">
        <v>28</v>
      </c>
      <c r="B9" t="inlineStr">
        <is>
          <t>Phase 3</t>
        </is>
      </c>
      <c r="C9" t="inlineStr">
        <is>
          <t>RCA Output &amp; Evidence</t>
        </is>
      </c>
      <c r="D9" t="inlineStr">
        <is>
          <t>Evidence IDs on important RCA claims</t>
        </is>
      </c>
      <c r="E9" t="inlineStr">
        <is>
          <t>Completed</t>
        </is>
      </c>
      <c r="F9" t="inlineStr">
        <is>
          <t>Critical</t>
        </is>
      </c>
      <c r="I9" t="inlineStr">
        <is>
          <t>Implemented.</t>
        </is>
      </c>
    </row>
    <row r="10">
      <c r="A10" t="n">
        <v>29</v>
      </c>
      <c r="B10" t="inlineStr">
        <is>
          <t>Phase 3</t>
        </is>
      </c>
      <c r="C10" t="inlineStr">
        <is>
          <t>RCA Output &amp; Evidence</t>
        </is>
      </c>
      <c r="D10" t="inlineStr">
        <is>
          <t>Prevent unsupported conclusions from being confirmed</t>
        </is>
      </c>
      <c r="E10" t="inlineStr">
        <is>
          <t>Completed</t>
        </is>
      </c>
      <c r="F10" t="inlineStr">
        <is>
          <t>Critical</t>
        </is>
      </c>
      <c r="I10" t="inlineStr">
        <is>
          <t>Insufficient-evidence path exists.</t>
        </is>
      </c>
    </row>
    <row r="11">
      <c r="A11" t="n">
        <v>36</v>
      </c>
      <c r="B11" t="inlineStr">
        <is>
          <t>Phase 3</t>
        </is>
      </c>
      <c r="C11" t="inlineStr">
        <is>
          <t>RCA Output &amp; Evidence</t>
        </is>
      </c>
      <c r="D11" t="inlineStr">
        <is>
          <t>Human-approved remediation only</t>
        </is>
      </c>
      <c r="E11" t="inlineStr">
        <is>
          <t>Completed</t>
        </is>
      </c>
      <c r="F11" t="inlineStr">
        <is>
          <t>Critical</t>
        </is>
      </c>
      <c r="I11" t="inlineStr">
        <is>
          <t>Core design rule.</t>
        </is>
      </c>
    </row>
    <row r="12">
      <c r="A12" t="n">
        <v>37</v>
      </c>
      <c r="B12" t="inlineStr">
        <is>
          <t>Phase 4</t>
        </is>
      </c>
      <c r="C12" t="inlineStr">
        <is>
          <t>Dynamic Investigation &amp; Confidence</t>
        </is>
      </c>
      <c r="D12" t="inlineStr">
        <is>
          <t>Separate Investigation Completeness and Root Cause Confidence</t>
        </is>
      </c>
      <c r="E12" t="inlineStr">
        <is>
          <t>Completed</t>
        </is>
      </c>
      <c r="F12" t="inlineStr">
        <is>
          <t>Critical</t>
        </is>
      </c>
      <c r="I12" t="inlineStr">
        <is>
          <t>Two-score model implemented.</t>
        </is>
      </c>
    </row>
    <row r="13">
      <c r="A13" t="n">
        <v>38</v>
      </c>
      <c r="B13" t="inlineStr">
        <is>
          <t>Phase 4</t>
        </is>
      </c>
      <c r="C13" t="inlineStr">
        <is>
          <t>Dynamic Investigation &amp; Confidence</t>
        </is>
      </c>
      <c r="D13" t="inlineStr">
        <is>
          <t>Deterministic application-side confidence scoring</t>
        </is>
      </c>
      <c r="E13" t="inlineStr">
        <is>
          <t>Completed</t>
        </is>
      </c>
      <c r="F13" t="inlineStr">
        <is>
          <t>Critical</t>
        </is>
      </c>
      <c r="I13" t="inlineStr">
        <is>
          <t>Implemented and tested.</t>
        </is>
      </c>
    </row>
    <row r="14">
      <c r="A14" t="n">
        <v>44</v>
      </c>
      <c r="B14" t="inlineStr">
        <is>
          <t>Phase 4</t>
        </is>
      </c>
      <c r="C14" t="inlineStr">
        <is>
          <t>Dynamic Investigation &amp; Confidence</t>
        </is>
      </c>
      <c r="D14" t="inlineStr">
        <is>
          <t>Allow insufficient evidence / unknown cause</t>
        </is>
      </c>
      <c r="E14" t="inlineStr">
        <is>
          <t>Completed</t>
        </is>
      </c>
      <c r="F14" t="inlineStr">
        <is>
          <t>Critical</t>
        </is>
      </c>
      <c r="I14" t="inlineStr">
        <is>
          <t>Implemented.</t>
        </is>
      </c>
    </row>
    <row r="15">
      <c r="A15" t="n">
        <v>46</v>
      </c>
      <c r="B15" t="inlineStr">
        <is>
          <t>Phase 5</t>
        </is>
      </c>
      <c r="C15" t="inlineStr">
        <is>
          <t>Testing &amp; Evaluation</t>
        </is>
      </c>
      <c r="D15" t="inlineStr">
        <is>
          <t>Automated Python test suite</t>
        </is>
      </c>
      <c r="E15" t="inlineStr">
        <is>
          <t>Completed</t>
        </is>
      </c>
      <c r="F15" t="inlineStr">
        <is>
          <t>High</t>
        </is>
      </c>
      <c r="I15" t="inlineStr">
        <is>
          <t>Substantial coverage exists.</t>
        </is>
      </c>
    </row>
    <row r="16">
      <c r="A16" t="n">
        <v>47</v>
      </c>
      <c r="B16" t="inlineStr">
        <is>
          <t>Phase 5</t>
        </is>
      </c>
      <c r="C16" t="inlineStr">
        <is>
          <t>Testing &amp; Evaluation</t>
        </is>
      </c>
      <c r="D16" t="inlineStr">
        <is>
          <t>Terraform native tests</t>
        </is>
      </c>
      <c r="E16" t="inlineStr">
        <is>
          <t>Completed</t>
        </is>
      </c>
      <c r="F16" t="inlineStr">
        <is>
          <t>High</t>
        </is>
      </c>
      <c r="I16" t="inlineStr">
        <is>
          <t>Implemented.</t>
        </is>
      </c>
    </row>
    <row r="17">
      <c r="A17" t="n">
        <v>48</v>
      </c>
      <c r="B17" t="inlineStr">
        <is>
          <t>Phase 5</t>
        </is>
      </c>
      <c r="C17" t="inlineStr">
        <is>
          <t>Testing &amp; Evaluation</t>
        </is>
      </c>
      <c r="D17" t="inlineStr">
        <is>
          <t>Golden evaluation dataset</t>
        </is>
      </c>
      <c r="E17" t="inlineStr">
        <is>
          <t>Completed</t>
        </is>
      </c>
      <c r="F17" t="inlineStr">
        <is>
          <t>High</t>
        </is>
      </c>
      <c r="I17" t="inlineStr">
        <is>
          <t>Foundation dataset exists.</t>
        </is>
      </c>
    </row>
    <row r="18">
      <c r="A18" t="n">
        <v>49</v>
      </c>
      <c r="B18" t="inlineStr">
        <is>
          <t>Phase 5</t>
        </is>
      </c>
      <c r="C18" t="inlineStr">
        <is>
          <t>Testing &amp; Evaluation</t>
        </is>
      </c>
      <c r="D18" t="inlineStr">
        <is>
          <t>Evaluation runner</t>
        </is>
      </c>
      <c r="E18" t="inlineStr">
        <is>
          <t>Completed</t>
        </is>
      </c>
      <c r="F18" t="inlineStr">
        <is>
          <t>High</t>
        </is>
      </c>
      <c r="I18" t="inlineStr">
        <is>
          <t>Implemented.</t>
        </is>
      </c>
    </row>
    <row r="19">
      <c r="A19" t="n">
        <v>58</v>
      </c>
      <c r="B19" t="inlineStr">
        <is>
          <t>Phase 6</t>
        </is>
      </c>
      <c r="C19" t="inlineStr">
        <is>
          <t>Observability &amp; Reliability</t>
        </is>
      </c>
      <c r="D19" t="inlineStr">
        <is>
          <t>Structured logging</t>
        </is>
      </c>
      <c r="E19" t="inlineStr">
        <is>
          <t>Completed</t>
        </is>
      </c>
      <c r="F19" t="inlineStr">
        <is>
          <t>High</t>
        </is>
      </c>
      <c r="I19" t="inlineStr">
        <is>
          <t>Implemented.</t>
        </is>
      </c>
    </row>
    <row r="20">
      <c r="A20" t="n">
        <v>59</v>
      </c>
      <c r="B20" t="inlineStr">
        <is>
          <t>Phase 6</t>
        </is>
      </c>
      <c r="C20" t="inlineStr">
        <is>
          <t>Observability &amp; Reliability</t>
        </is>
      </c>
      <c r="D20" t="inlineStr">
        <is>
          <t>Distributed tracing foundation</t>
        </is>
      </c>
      <c r="E20" t="inlineStr">
        <is>
          <t>Completed</t>
        </is>
      </c>
      <c r="F20" t="inlineStr">
        <is>
          <t>High</t>
        </is>
      </c>
      <c r="I20" t="inlineStr">
        <is>
          <t>Implemented.</t>
        </is>
      </c>
    </row>
    <row r="21">
      <c r="A21" t="n">
        <v>60</v>
      </c>
      <c r="B21" t="inlineStr">
        <is>
          <t>Phase 6</t>
        </is>
      </c>
      <c r="C21" t="inlineStr">
        <is>
          <t>Observability &amp; Reliability</t>
        </is>
      </c>
      <c r="D21" t="inlineStr">
        <is>
          <t>Investigation/run IDs</t>
        </is>
      </c>
      <c r="E21" t="inlineStr">
        <is>
          <t>Completed</t>
        </is>
      </c>
      <c r="F21" t="inlineStr">
        <is>
          <t>High</t>
        </is>
      </c>
      <c r="I21" t="inlineStr">
        <is>
          <t>Implemented.</t>
        </is>
      </c>
    </row>
    <row r="22">
      <c r="A22" t="n">
        <v>61</v>
      </c>
      <c r="B22" t="inlineStr">
        <is>
          <t>Phase 6</t>
        </is>
      </c>
      <c r="C22" t="inlineStr">
        <is>
          <t>Observability &amp; Reliability</t>
        </is>
      </c>
      <c r="D22" t="inlineStr">
        <is>
          <t>Metrics and alert policies</t>
        </is>
      </c>
      <c r="E22" t="inlineStr">
        <is>
          <t>Completed</t>
        </is>
      </c>
      <c r="F22" t="inlineStr">
        <is>
          <t>High</t>
        </is>
      </c>
      <c r="I22" t="inlineStr">
        <is>
          <t>11 metrics and 11 alerts exist.</t>
        </is>
      </c>
    </row>
    <row r="23">
      <c r="A23" t="n">
        <v>62</v>
      </c>
      <c r="B23" t="inlineStr">
        <is>
          <t>Phase 6</t>
        </is>
      </c>
      <c r="C23" t="inlineStr">
        <is>
          <t>Observability &amp; Reliability</t>
        </is>
      </c>
      <c r="D23" t="inlineStr">
        <is>
          <t>Cloud Trace export restored and verified end-to-end</t>
        </is>
      </c>
      <c r="E23" t="inlineStr">
        <is>
          <t>Completed</t>
        </is>
      </c>
      <c r="F23" t="inlineStr">
        <is>
          <t>High</t>
        </is>
      </c>
      <c r="I23" t="inlineStr">
        <is>
          <t>Cloud Trace export restored and verified end-to-end -- 2026-08-13. Three root causes fixed (PR #136, #137): lazy tracer init losing setup race, wrong Cloud Trace hostname, wrong gRPC protocol binding for Cloud Trace. Live proof: run_20260813_222248_ybag -- flush_traces result=True, real trace ada23f5a144e8b327fe6fc51c3a426b4 with 54 correlated spans (outer + all LangGraph nodes + Gemini calls), metadata-only content confirmed. GitHub #130 and #29 closed. NOTE: this covers Cloud Trace ONLY -- the separate Cloud Logging observability-write 403 is NOT fixed by this work, tracked separately as tracker ID 152 / GitHub #139.</t>
        </is>
      </c>
    </row>
    <row r="24">
      <c r="A24" t="n">
        <v>65</v>
      </c>
      <c r="B24" t="inlineStr">
        <is>
          <t>Phase 6</t>
        </is>
      </c>
      <c r="C24" t="inlineStr">
        <is>
          <t>Observability &amp; Reliability</t>
        </is>
      </c>
      <c r="D24" t="inlineStr">
        <is>
          <t>Mitigate managed Reasoning Engine stream timeout / high investigation latency</t>
        </is>
      </c>
      <c r="E24" t="inlineStr">
        <is>
          <t>Completed</t>
        </is>
      </c>
      <c r="F24" t="inlineStr">
        <is>
          <t>Critical</t>
        </is>
      </c>
      <c r="I24" t="inlineStr">
        <is>
          <t>RESOLVED 2026-08-15 via native stream_query() (PR #160, merge commit 0a15f93). Deployment: Agent Engine updated in place (Terraform 0 add/1 change/0 destroy, Agent Engine ID 7801582006105538560 unchanged, createTime unchanged, Agent Identity and Agent Gateway attachment preserved). Live E2E run_id run_20260815_121835_mmmq: 315.3s duration (past the original ~300s transport boundary), 34 stream progress events, 5 real GKE Remote MCP tool calls/evidence collected, truthful final RCA returned, no stream-timeout error. Native streaming (--stream-query) is now the supported long-running invocation path. Synchronous query() remains available but keeps its known ~300s managed transport limit. asyncQuery/run_query_job (#156) stays in repo, experimental/Google-blocked, not required for this resolution. Follow-up (separate, does not reopen this): Cloud Trace span-fragmentation regression found during validation, tracked as new issue #161 -- not yet added as its own tracker row, pending approval.</t>
        </is>
      </c>
    </row>
    <row r="25">
      <c r="A25" t="n">
        <v>69</v>
      </c>
      <c r="B25" t="inlineStr">
        <is>
          <t>Phase 7</t>
        </is>
      </c>
      <c r="C25" t="inlineStr">
        <is>
          <t>Multi-Cluster Scalability</t>
        </is>
      </c>
      <c r="D25" t="inlineStr">
        <is>
          <t>Multi-cluster registry</t>
        </is>
      </c>
      <c r="E25" t="inlineStr">
        <is>
          <t>Completed</t>
        </is>
      </c>
      <c r="F25" t="inlineStr">
        <is>
          <t>Critical</t>
        </is>
      </c>
      <c r="I25" t="inlineStr">
        <is>
          <t>Terraform-managed registry implemented.</t>
        </is>
      </c>
    </row>
    <row r="26">
      <c r="A26" t="n">
        <v>70</v>
      </c>
      <c r="B26" t="inlineStr">
        <is>
          <t>Phase 7</t>
        </is>
      </c>
      <c r="C26" t="inlineStr">
        <is>
          <t>Multi-Cluster Scalability</t>
        </is>
      </c>
      <c r="D26" t="inlineStr">
        <is>
          <t>Prevent Terraform from removing registered clusters accidentally</t>
        </is>
      </c>
      <c r="E26" t="inlineStr">
        <is>
          <t>Completed</t>
        </is>
      </c>
      <c r="F26" t="inlineStr">
        <is>
          <t>Critical</t>
        </is>
      </c>
      <c r="I26" t="inlineStr">
        <is>
          <t>Registry ownership bug fixed.</t>
        </is>
      </c>
    </row>
    <row r="27">
      <c r="A27" t="n">
        <v>71</v>
      </c>
      <c r="B27" t="inlineStr">
        <is>
          <t>Phase 7</t>
        </is>
      </c>
      <c r="C27" t="inlineStr">
        <is>
          <t>Multi-Cluster Scalability</t>
        </is>
      </c>
      <c r="D27" t="inlineStr">
        <is>
          <t>Deterministic cluster-type routing</t>
        </is>
      </c>
      <c r="E27" t="inlineStr">
        <is>
          <t>Completed</t>
        </is>
      </c>
      <c r="F27" t="inlineStr">
        <is>
          <t>Critical</t>
        </is>
      </c>
      <c r="I27" t="inlineStr">
        <is>
          <t>Implemented.</t>
        </is>
      </c>
    </row>
    <row r="28">
      <c r="A28" t="n">
        <v>73</v>
      </c>
      <c r="B28" t="inlineStr">
        <is>
          <t>Phase 7</t>
        </is>
      </c>
      <c r="C28" t="inlineStr">
        <is>
          <t>Multi-Cluster Scalability</t>
        </is>
      </c>
      <c r="D28" t="inlineStr">
        <is>
          <t>Unknown/missing-cluster safe-stop validation</t>
        </is>
      </c>
      <c r="E28" t="inlineStr">
        <is>
          <t>Completed</t>
        </is>
      </c>
      <c r="F28" t="inlineStr">
        <is>
          <t>Critical</t>
        </is>
      </c>
      <c r="I28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29">
      <c r="A29" t="n">
        <v>78</v>
      </c>
      <c r="B29" t="inlineStr">
        <is>
          <t>Phase 8</t>
        </is>
      </c>
      <c r="C29" t="inlineStr">
        <is>
          <t>MCP Tool Architecture</t>
        </is>
      </c>
      <c r="D29" t="inlineStr">
        <is>
          <t>GKE Remote MCP primary source</t>
        </is>
      </c>
      <c r="E29" t="inlineStr">
        <is>
          <t>Completed</t>
        </is>
      </c>
      <c r="F29" t="inlineStr">
        <is>
          <t>Critical</t>
        </is>
      </c>
      <c r="I29" t="inlineStr">
        <is>
          <t>Working.</t>
        </is>
      </c>
    </row>
    <row r="30">
      <c r="A30" t="n">
        <v>79</v>
      </c>
      <c r="B30" t="inlineStr">
        <is>
          <t>Phase 8</t>
        </is>
      </c>
      <c r="C30" t="inlineStr">
        <is>
          <t>MCP Tool Architecture</t>
        </is>
      </c>
      <c r="D30" t="inlineStr">
        <is>
          <t>MCP registry and deterministic routing</t>
        </is>
      </c>
      <c r="E30" t="inlineStr">
        <is>
          <t>Completed</t>
        </is>
      </c>
      <c r="F30" t="inlineStr">
        <is>
          <t>Critical</t>
        </is>
      </c>
      <c r="I30" t="inlineStr">
        <is>
          <t>Implemented.</t>
        </is>
      </c>
    </row>
    <row r="31">
      <c r="A31" t="n">
        <v>80</v>
      </c>
      <c r="B31" t="inlineStr">
        <is>
          <t>Phase 8</t>
        </is>
      </c>
      <c r="C31" t="inlineStr">
        <is>
          <t>MCP Tool Architecture</t>
        </is>
      </c>
      <c r="D31" t="inlineStr">
        <is>
          <t>Custom read-only Kubernetes MCP code</t>
        </is>
      </c>
      <c r="E31" t="inlineStr">
        <is>
          <t>Completed</t>
        </is>
      </c>
      <c r="F31" t="inlineStr">
        <is>
          <t>High</t>
        </is>
      </c>
      <c r="I31" t="inlineStr">
        <is>
          <t>Code exists with mutation guards.</t>
        </is>
      </c>
    </row>
    <row r="32">
      <c r="A32" t="n">
        <v>87</v>
      </c>
      <c r="B32" t="inlineStr">
        <is>
          <t>Phase 8</t>
        </is>
      </c>
      <c r="C32" t="inlineStr">
        <is>
          <t>MCP Tool Architecture</t>
        </is>
      </c>
      <c r="D32" t="inlineStr">
        <is>
          <t>Prevent arbitrary shell/write operations</t>
        </is>
      </c>
      <c r="E32" t="inlineStr">
        <is>
          <t>Completed</t>
        </is>
      </c>
      <c r="F32" t="inlineStr">
        <is>
          <t>Critical</t>
        </is>
      </c>
      <c r="I32" t="inlineStr">
        <is>
          <t>Read-only controls exist.</t>
        </is>
      </c>
    </row>
    <row r="33">
      <c r="A33" t="n">
        <v>88</v>
      </c>
      <c r="B33" t="inlineStr">
        <is>
          <t>Phase 9</t>
        </is>
      </c>
      <c r="C33" t="inlineStr">
        <is>
          <t>Cost &amp; Performance</t>
        </is>
      </c>
      <c r="D33" t="inlineStr">
        <is>
          <t>Detailed token telemetry</t>
        </is>
      </c>
      <c r="E33" t="inlineStr">
        <is>
          <t>Completed</t>
        </is>
      </c>
      <c r="F33" t="inlineStr">
        <is>
          <t>High</t>
        </is>
      </c>
      <c r="I33" t="inlineStr">
        <is>
          <t>Per-call and per-run telemetry exists.</t>
        </is>
      </c>
    </row>
    <row r="34">
      <c r="A34" t="n">
        <v>116</v>
      </c>
      <c r="B34" t="inlineStr">
        <is>
          <t>Phase 13</t>
        </is>
      </c>
      <c r="C34" t="inlineStr">
        <is>
          <t>Security &amp; Supply Chain</t>
        </is>
      </c>
      <c r="D34" t="inlineStr">
        <is>
          <t>Agent Identity / no static service-account keys</t>
        </is>
      </c>
      <c r="E34" t="inlineStr">
        <is>
          <t>Completed</t>
        </is>
      </c>
      <c r="F34" t="inlineStr">
        <is>
          <t>Critical</t>
        </is>
      </c>
      <c r="I34" t="inlineStr">
        <is>
          <t>Implemented.</t>
        </is>
      </c>
    </row>
    <row r="35">
      <c r="A35" t="n">
        <v>117</v>
      </c>
      <c r="B35" t="inlineStr">
        <is>
          <t>Phase 13</t>
        </is>
      </c>
      <c r="C35" t="inlineStr">
        <is>
          <t>Security &amp; Supply Chain</t>
        </is>
      </c>
      <c r="D35" t="inlineStr">
        <is>
          <t>Read-only Kubernetes tooling</t>
        </is>
      </c>
      <c r="E35" t="inlineStr">
        <is>
          <t>Completed</t>
        </is>
      </c>
      <c r="F35" t="inlineStr">
        <is>
          <t>Critical</t>
        </is>
      </c>
      <c r="I35" t="inlineStr">
        <is>
          <t>Implemented.</t>
        </is>
      </c>
    </row>
    <row r="36">
      <c r="A36" t="n">
        <v>137</v>
      </c>
      <c r="B36" t="inlineStr">
        <is>
          <t>Phase 1</t>
        </is>
      </c>
      <c r="C36" t="inlineStr">
        <is>
          <t>Production Readiness</t>
        </is>
      </c>
      <c r="D36" t="inlineStr">
        <is>
          <t>Issue #31: SSE parser can silently return an empty first frame as success -- workflow/output correctness risk</t>
        </is>
      </c>
      <c r="E36" t="inlineStr">
        <is>
          <t>Completed</t>
        </is>
      </c>
      <c r="F36" t="inlineStr">
        <is>
          <t>High</t>
        </is>
      </c>
      <c r="I36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37">
      <c r="A37" t="n">
        <v>138</v>
      </c>
      <c r="B37" t="inlineStr">
        <is>
          <t>Phase 1</t>
        </is>
      </c>
      <c r="C37" t="inlineStr">
        <is>
          <t>Production Readiness</t>
        </is>
      </c>
      <c r="D37" t="inlineStr">
        <is>
          <t>Issue #87: Terraform gateway self-heal can auto-recreate the production Reasoning Engine unattended -- infrastructure/deployment safety risk</t>
        </is>
      </c>
      <c r="E37" t="inlineStr">
        <is>
          <t>Completed</t>
        </is>
      </c>
      <c r="F37" t="inlineStr">
        <is>
          <t>High</t>
        </is>
      </c>
      <c r="I37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38">
      <c r="A38" t="n">
        <v>139</v>
      </c>
      <c r="B38" t="inlineStr">
        <is>
          <t>Phase 1</t>
        </is>
      </c>
      <c r="C38" t="inlineStr">
        <is>
          <t>Production Readiness</t>
        </is>
      </c>
      <c r="D38" t="inlineStr">
        <is>
          <t>Issue #64: google_billing_budget shown in architecture docs is not provisioned in Terraform</t>
        </is>
      </c>
      <c r="E38" t="inlineStr">
        <is>
          <t>Completed</t>
        </is>
      </c>
      <c r="F38" t="inlineStr">
        <is>
          <t>Low</t>
        </is>
      </c>
      <c r="I38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39">
      <c r="A39" t="n">
        <v>140</v>
      </c>
      <c r="B39" t="inlineStr">
        <is>
          <t>Phase 1</t>
        </is>
      </c>
      <c r="C39" t="inlineStr">
        <is>
          <t>Production Readiness</t>
        </is>
      </c>
      <c r="D39" t="inlineStr">
        <is>
          <t>Issue #92: Agent has no pod-log-read permission on the target GKE cluster -- logs unavailable for every incident</t>
        </is>
      </c>
      <c r="E39" t="inlineStr">
        <is>
          <t>Completed</t>
        </is>
      </c>
      <c r="F39" t="inlineStr">
        <is>
          <t>P0-quick-fix</t>
        </is>
      </c>
      <c r="I39" t="inlineStr">
        <is>
          <t>Corrected + live-validated 2026-08-12. Real root cause was NOT a missing IAM permission -- a K8s-native RoleBinding already existed on the cluster (applied 2026-07-28) but was bound to a stale reasoning-engine ID from before a redeploy. Fixed by updating the RoleBinding subject to the current engine ID, checked into k8s/rbac.yaml (PR #121), applied live. Verified: kubectl auth can-i get pods/log --as=&lt;current engine&gt; now returns yes (was no). Reverted the earlier Cloud IAM custom-role approach (PR #118) as unnecessary duplicate infra -- never actually deployed. Full end-to-end agent test blocked by a separate CPUS_ALL_REGIONS=12 quota (cost guardrail on personal account, not raised) -- kubectl auth can-i accepted as sufficient live evidence per user confirmation.</t>
        </is>
      </c>
    </row>
    <row r="40">
      <c r="A40" t="n">
        <v>141</v>
      </c>
      <c r="B40" t="inlineStr">
        <is>
          <t>Phase 1</t>
        </is>
      </c>
      <c r="C40" t="inlineStr">
        <is>
          <t>Production Readiness</t>
        </is>
      </c>
      <c r="D40" t="inlineStr">
        <is>
          <t>Issue #67: resource_identity_match only checks cluster, ignoring namespace and pod</t>
        </is>
      </c>
      <c r="E40" t="inlineStr">
        <is>
          <t>Completed</t>
        </is>
      </c>
      <c r="F40" t="inlineStr">
        <is>
          <t>P1-small-fix</t>
        </is>
      </c>
      <c r="I40" t="inlineStr">
        <is>
          <t>Fixed 2026-08-12 (PR #125). resource_identity_match now checks namespace/pod via evidence resource_id field, not just cluster. 2 new regression tests, full suite 190/190 pass, deployed live via CI apply.</t>
        </is>
      </c>
    </row>
    <row r="41">
      <c r="A41" t="n">
        <v>142</v>
      </c>
      <c r="B41" t="inlineStr">
        <is>
          <t>Phase 1</t>
        </is>
      </c>
      <c r="C41" t="inlineStr">
        <is>
          <t>Production Readiness</t>
        </is>
      </c>
      <c r="D41" t="inlineStr">
        <is>
          <t>Issue #68: time_correlation and freshness scoring do not evaluate real evidence timestamps</t>
        </is>
      </c>
      <c r="E41" t="inlineStr">
        <is>
          <t>Completed</t>
        </is>
      </c>
      <c r="F41" t="inlineStr">
        <is>
          <t>P1-small-fix</t>
        </is>
      </c>
      <c r="I41" t="inlineStr">
        <is>
          <t>Fixed 2026-08-12 (PR #125). evidence_extractor.py now stamps real collected_at per evidence item; freshness/time_correlation use it instead of investigation-start proxy / flat binary. 4 new regression tests.</t>
        </is>
      </c>
    </row>
    <row r="42">
      <c r="A42" t="n">
        <v>143</v>
      </c>
      <c r="B42" t="inlineStr">
        <is>
          <t>Phase 1</t>
        </is>
      </c>
      <c r="C42" t="inlineStr">
        <is>
          <t>Production Readiness</t>
        </is>
      </c>
      <c r="D42" t="inlineStr">
        <is>
          <t>Issue #69: investigation loop can exit while required evidence domains are still missing</t>
        </is>
      </c>
      <c r="E42" t="inlineStr">
        <is>
          <t>Completed</t>
        </is>
      </c>
      <c r="F42" t="inlineStr">
        <is>
          <t>P1-small-fix</t>
        </is>
      </c>
      <c r="I42" t="inlineStr">
        <is>
          <t>Fixed 2026-08-12 (PR #125). Loop no longer exits on enough_evidence=True when missing_required_domains is non-empty and budget remains -- forces one more iteration. Real E2E proof cited in issue. 4 new regression tests.</t>
        </is>
      </c>
    </row>
    <row r="43">
      <c r="A43" t="n">
        <v>144</v>
      </c>
      <c r="B43" t="inlineStr">
        <is>
          <t>Phase 1</t>
        </is>
      </c>
      <c r="C43" t="inlineStr">
        <is>
          <t>Production Readiness</t>
        </is>
      </c>
      <c r="D43" t="inlineStr">
        <is>
          <t>Issue #70: agent does not act on its own generated next investigative step before concluding</t>
        </is>
      </c>
      <c r="E43" t="inlineStr">
        <is>
          <t>Completed</t>
        </is>
      </c>
      <c r="F43" t="inlineStr">
        <is>
          <t>P1-small-fix</t>
        </is>
      </c>
      <c r="I43" t="inlineStr">
        <is>
          <t>Partially fixed 2026-08-12 (PR #125) -- broaden-and-retry on NotFound added for list_k8s_events. Second half (force suggested tool call) covered by #69 fix instead (same root symptom, stronger mechanism). Issue auto-closed as a side effect of commit message wording -- see corrective comment on the issue. 6 new regression tests.</t>
        </is>
      </c>
    </row>
    <row r="44">
      <c r="A44" t="n">
        <v>145</v>
      </c>
      <c r="B44" t="inlineStr">
        <is>
          <t>Phase 1</t>
        </is>
      </c>
      <c r="C44" t="inlineStr">
        <is>
          <t>Production Readiness</t>
        </is>
      </c>
      <c r="D44" t="inlineStr">
        <is>
          <t>Issue #71: MCP fallback audit trail records the requested tool, not what actually executed</t>
        </is>
      </c>
      <c r="E44" t="inlineStr">
        <is>
          <t>Completed</t>
        </is>
      </c>
      <c r="F44" t="inlineStr">
        <is>
          <t>P1-small-fix</t>
        </is>
      </c>
      <c r="I44" t="inlineStr">
        <is>
          <t>Fixed 2026-08-12 (PR #125). tool_history/latest_tool_result now record call_tool()'s actual executed tool/mcp_source, not the pre-call request. 3 new regression tests.</t>
        </is>
      </c>
    </row>
    <row r="45">
      <c r="A45" t="n">
        <v>146</v>
      </c>
      <c r="B45" t="inlineStr">
        <is>
          <t>Phase 1</t>
        </is>
      </c>
      <c r="C45" t="inlineStr">
        <is>
          <t>Production Readiness</t>
        </is>
      </c>
      <c r="D45" t="inlineStr">
        <is>
          <t>Issue #72: MCP fallback does not trigger on network errors and has an invalid tool mapping</t>
        </is>
      </c>
      <c r="E45" t="inlineStr">
        <is>
          <t>Completed</t>
        </is>
      </c>
      <c r="F45" t="inlineStr">
        <is>
          <t>P1-small-fix</t>
        </is>
      </c>
      <c r="I45" t="inlineStr">
        <is>
          <t>Fixed 2026-08-12 (PR #125). Fallback now fires on network exceptions and empty responses too (not just non-200 status); removed 2 semantically-invalid tool mappings (get_k8s_cluster_info/list_k8s_api_resources -&gt; list_pods); pod_name only sent to fallback targets that accept it. 9 new regression tests.</t>
        </is>
      </c>
    </row>
    <row r="46">
      <c r="A46" t="n">
        <v>147</v>
      </c>
      <c r="B46" t="inlineStr">
        <is>
          <t>Phase 1</t>
        </is>
      </c>
      <c r="C46" t="inlineStr">
        <is>
          <t>Production Readiness</t>
        </is>
      </c>
      <c r="D46" t="inlineStr">
        <is>
          <t>Issue #74: Gemini token/cost/latency counters are process-global, not scoped per investigation</t>
        </is>
      </c>
      <c r="E46" t="inlineStr">
        <is>
          <t>Completed</t>
        </is>
      </c>
      <c r="F46" t="inlineStr">
        <is>
          <t>P1-small-fix</t>
        </is>
      </c>
      <c r="I46" t="inlineStr">
        <is>
          <t>Fixed 2026-08-12 (PR #127). GeminiAdapter is cached process-wide and reused across investigations -- added reset_session(), called at the start of every investigation in agent/main.py investigate(). 5 new regression tests, full suite 195/195 pass.</t>
        </is>
      </c>
    </row>
    <row r="47">
      <c r="A47" t="n">
        <v>148</v>
      </c>
      <c r="B47" t="inlineStr">
        <is>
          <t>Phase 1</t>
        </is>
      </c>
      <c r="C47" t="inlineStr">
        <is>
          <t>Production Readiness</t>
        </is>
      </c>
      <c r="D47" t="inlineStr">
        <is>
          <t>Issue #75: Duplicate completion log events not scoped by logName can double-count metrics</t>
        </is>
      </c>
      <c r="E47" t="inlineStr">
        <is>
          <t>Completed</t>
        </is>
      </c>
      <c r="F47" t="inlineStr">
        <is>
          <t>P1-small-fix</t>
        </is>
      </c>
      <c r="I47" t="inlineStr">
        <is>
          <t>Fixed 2026-08-12 (PR #127). 8 of 9 completion-related log-based metrics in monitoring.tf were double-counting (2 separate completion events share overlapping field names). Restricted to event_type="sre_agent_run", matching the #63 token_usage fix. 9 new terraform tests, terraform plan clean (8 metrics update in-place).</t>
        </is>
      </c>
    </row>
    <row r="48">
      <c r="A48" t="n">
        <v>149</v>
      </c>
      <c r="B48" t="inlineStr">
        <is>
          <t>Phase 1</t>
        </is>
      </c>
      <c r="C48" t="inlineStr">
        <is>
          <t>Production Readiness</t>
        </is>
      </c>
      <c r="D48" t="inlineStr">
        <is>
          <t>Issue #76: Full prompt/response content capture enabled in tracing at 100% sample rate</t>
        </is>
      </c>
      <c r="E48" t="inlineStr">
        <is>
          <t>Completed</t>
        </is>
      </c>
      <c r="F48" t="inlineStr">
        <is>
          <t>P1-small-fix</t>
        </is>
      </c>
      <c r="I48" t="inlineStr">
        <is>
          <t>Completed 2026-08-13 (PR #133). Corrected compliance review found 3 more real content-capture paths beyond the original flag: agent/main.py sre.query span attribute (raw query text), agent/otel.py trace_node() exception handling (record_exception/Status/sre.node.error all sent exception message text), and both spans defaulted to OTel start_as_current_span()'s record_exception=True (auto-captures exception message on re-raise, independent of explicit handling -- caught by this PR's own regression test failing on first run). All fixed: sre.query removed, only exception TYPE recorded (sre.node.error_type), record_exception=False/set_status_on_exception=False on both span-creation sites. 3 new Python tests (real in-process OTel TracerProvider + InMemorySpanExporter, unique secret marker proven absent from all span data) + 2 new terraform tests. Full suite 200/200, terraform test 25/25, terraform plan clean. Deployed, Agent Engine ID unchanged (7801582006105538560). Live-queried the real deployed resource directly (Vertex AI REST API, not just terraform state): OTEL_INSTRUMENTATION_GENAI_CAPTURE_MESSAGE_CONTENT=false, OTEL_TRACES_SAMPLER_ARG=1.0 confirmed. Does NOT claim working Cloud Trace was validated -- #130 (Cloud Trace export appears broken) is separate and stays open.</t>
        </is>
      </c>
    </row>
    <row r="49">
      <c r="A49" t="n">
        <v>151</v>
      </c>
      <c r="B49" t="inlineStr">
        <is>
          <t>Phase 1</t>
        </is>
      </c>
      <c r="C49" t="inlineStr">
        <is>
          <t>Production Readiness</t>
        </is>
      </c>
      <c r="D49" t="inlineStr">
        <is>
          <t>Issue #91: Evidence-domain coverage credits failed tool calls as if they succeeded</t>
        </is>
      </c>
      <c r="E49" t="inlineStr">
        <is>
          <t>Completed</t>
        </is>
      </c>
      <c r="F49" t="inlineStr">
        <is>
          <t>P0-quick-fix</t>
        </is>
      </c>
      <c r="I49" t="inlineStr">
        <is>
          <t>Fixed 2026-08-13 (PR #131, merged as part of a bundled branch -- see PR for note). _evidence_domains_present() now excludes ev.get("ok")==False entries, fixing both required_evidence_coverage and independent_corroboration. 2 new regression tests, full suite 197/197 pass. Deployed, Agent Engine ID unchanged (7801582006105538560).</t>
        </is>
      </c>
    </row>
    <row r="50">
      <c r="A50" t="n">
        <v>152</v>
      </c>
      <c r="B50" t="inlineStr">
        <is>
          <t>Phase 6</t>
        </is>
      </c>
      <c r="C50" t="inlineStr">
        <is>
          <t>Observability &amp; Reliability</t>
        </is>
      </c>
      <c r="D50" t="inlineStr">
        <is>
          <t>Fix persistent Cloud Logging observability-write 403 (rca_builder.py)</t>
        </is>
      </c>
      <c r="E50" t="inlineStr">
        <is>
          <t>Completed</t>
        </is>
      </c>
      <c r="F50" t="inlineStr">
        <is>
          <t>P2-medium-fix</t>
        </is>
      </c>
      <c r="I50" t="inlineStr">
        <is>
          <t>RESOLVED 2026-08-23. Root cause: default gRPC transport never resolved a registry match through Agent Gateway (agentGatewayInfo empty on every real call, unlike every other working destination). Fix: cloud_logging.Client(_use_grpc=False), matched by re-registering us-central1-logging as protocolBinding=HTTP_JSON (Cloud Trace untouched). Live-verified 3/3 clean deployed investigations (run_20260823_163628_epvi, run_20260823_164050_ltcl, run_20260823_164258_wrjv) -- real entries now in sre-agent-investigations, which had zero entries in 180 days before. PRs #174 (controlled test), #175 (rolled to all 4 sites). Corrects a wrong repo assumption that google-cloud-logging is gRPC-only -- it isn't, confirmed against the installed 3.15.0 client.</t>
        </is>
      </c>
    </row>
    <row r="51">
      <c r="A51" t="n">
        <v>153</v>
      </c>
      <c r="B51" t="inlineStr">
        <is>
          <t>Phase 6</t>
        </is>
      </c>
      <c r="C51" t="inlineStr">
        <is>
          <t>Observability &amp; Reliability</t>
        </is>
      </c>
      <c r="D51" t="inlineStr">
        <is>
          <t>Fix Cloud Trace span fragmentation in native stream_query() investigations</t>
        </is>
      </c>
      <c r="E51" t="inlineStr">
        <is>
          <t>Completed</t>
        </is>
      </c>
      <c r="F51" t="inlineStr">
        <is>
          <t>High</t>
        </is>
      </c>
      <c r="I51" t="inlineStr">
        <is>
          <t>Fixed 2026-08-15 (PR #163, merge commit 7f02061). Root cause: investigate_stream()'s outer sre_agent.investigation OTel context was lost across the generator's own yield/resume boundary -- confirmed via a live diagnostic deployment (PR #162) showing context valid through points A/B, invalid immediately after the first yield (point C), same OS thread throughout. Fix: explicit OTel context capture/reattach around every graph.stream() iterator advancement in agent/main.py. Verified live: run_20260815_230251_iwqp produced one correlated trace with all 54 spans (sre_agent.investigation -&gt; langgraph.* -&gt; gen_ai.chat), matching the #130-validated synchronous baseline span count. GitHub #161 closed.</t>
        </is>
      </c>
    </row>
    <row r="52">
      <c r="A52" t="n">
        <v>155</v>
      </c>
      <c r="B52" t="inlineStr">
        <is>
          <t>Phase 1</t>
        </is>
      </c>
      <c r="C52" t="inlineStr">
        <is>
          <t>Production Readiness</t>
        </is>
      </c>
      <c r="D52" t="inlineStr">
        <is>
          <t>Issue #77: CI runs no tests, linting, or security scanning on pull requests</t>
        </is>
      </c>
      <c r="E52" t="inlineStr">
        <is>
          <t>Completed</t>
        </is>
      </c>
      <c r="F52" t="inlineStr">
        <is>
          <t>P2-medium-fix</t>
        </is>
      </c>
      <c r="I52" t="inlineStr">
        <is>
          <t>Fixed and deployed (PR #141): python-tests.yml added -- pytest, blocking ruff, pip-audit, a separate mcp-pytest job. Live-validated 2026-08-20: deploy run https://github.com/AshminPy/sre-agent-gateway/actions/runs/32427392189 -- a real investigation (imagepull scenario) completed in ~90s with a correct root cause and no #103-style timeout, the required clean canary. GitHub #77 closed.</t>
        </is>
      </c>
    </row>
    <row r="53">
      <c r="A53" t="n">
        <v>156</v>
      </c>
      <c r="B53" t="inlineStr">
        <is>
          <t>Phase 1</t>
        </is>
      </c>
      <c r="C53" t="inlineStr">
        <is>
          <t>Production Readiness</t>
        </is>
      </c>
      <c r="D53" t="inlineStr">
        <is>
          <t>Issue #78: CI path filters skip tests/, scripts/, eval/, and iac/gke-access/</t>
        </is>
      </c>
      <c r="E53" t="inlineStr">
        <is>
          <t>Completed</t>
        </is>
      </c>
      <c r="F53" t="inlineStr">
        <is>
          <t>P2-medium-fix</t>
        </is>
      </c>
      <c r="I53" t="inlineStr">
        <is>
          <t>Fixed and deployed (PR #141), scoped correctly per its own 2026-08-14 Correction: eval/** and iac/gke-access/** intentionally excluded (iac/gke-access is a separate Terraform stack; both terraform workflows run working-directory: iac/agent, so adding that path would validate the wrong stack -- deferred to a later, unfiled audit item, not this issue). Live-validated by the same canary as #77: https://github.com/AshminPy/sre-agent-gateway/actions/runs/32427392189. GitHub #78 closed.</t>
        </is>
      </c>
    </row>
    <row r="54">
      <c r="A54" t="n">
        <v>157</v>
      </c>
      <c r="B54" t="inlineStr">
        <is>
          <t>Phase 1</t>
        </is>
      </c>
      <c r="C54" t="inlineStr">
        <is>
          <t>Production Readiness</t>
        </is>
      </c>
      <c r="D54" t="inlineStr">
        <is>
          <t>Issue #94: Recurring terraform plan drift: TELEMETRY env var re-add + source_archive mismatch on sre_agent</t>
        </is>
      </c>
      <c r="E54" t="inlineStr">
        <is>
          <t>Completed</t>
        </is>
      </c>
      <c r="F54" t="inlineStr">
        <is>
          <t>P2-medium-fix</t>
        </is>
      </c>
      <c r="I54" t="inlineStr">
        <is>
          <t>Fixed (PR #157, merged 2026-08-20): removed the GOOGLE_CLOUD_AGENT_ENGINE_ENABLE_TELEMETRY declaration from agent_engine.tf -- Google's own provider code unconditionally skips this var when reading state back, so declaring it made every plan re-propose adding it forever. Deployed and applied cleanly: run https://github.com/AshminPy/sre-agent-gateway/actions/runs/32427392189, Apply step succeeded, 0 errors. Second cause (historical source_archive drift from the pre-#93 out-of-band script) was already expected to self-resolve; worth one more terraform plan check in a future session, not a new issue. GitHub #94 closed.</t>
        </is>
      </c>
    </row>
    <row r="55">
      <c r="A55" t="n">
        <v>160</v>
      </c>
      <c r="B55" t="inlineStr">
        <is>
          <t>Phase 6</t>
        </is>
      </c>
      <c r="C55" t="inlineStr">
        <is>
          <t>Observability &amp; Reliability</t>
        </is>
      </c>
      <c r="D55" t="inlineStr">
        <is>
          <t>Fix telemetry fail-open bug in agent/main.py (_finalize_investigation_result)</t>
        </is>
      </c>
      <c r="E55" t="inlineStr">
        <is>
          <t>Completed</t>
        </is>
      </c>
      <c r="F55" t="inlineStr">
        <is>
          <t>High</t>
        </is>
      </c>
      <c r="I55" t="inlineStr">
        <is>
          <t>A telemetry-formatting failure (e.g. a non-JSON-serializable value in obs_event) could report a successful investigation as failed -- the print/json.dumps/flush_traces block, and the risky computation just above it (mcp_latency_s, session_usage, evidence_storage_ok), ran unguarded inside the same try/except as the real investigation. PR #179 merged + deployed (CI run 32694681828). Validated: 3 unit tests (tests/test_main_fail_open.py) proving the exact bug via real revert/restore (reverting agent/main.py makes them fail with status=='failed', restoring makes them pass -- non-vacuous). Independent verifier subagent caught the first pass being narrower than this fix's own written plan and it was widened before merge (mistakes.yaml M019). Live-exercised (not just unit-tested) on every real investigation since deploy, including the 2026-08-24 smoke-test run -- no regression. The exact bug trigger (a real non-serializable value in production) has not occurred naturally, which is expected and acceptable for a defensive/negative-case fix of this kind.</t>
        </is>
      </c>
    </row>
    <row r="56">
      <c r="A56" t="n">
        <v>161</v>
      </c>
      <c r="B56" t="inlineStr">
        <is>
          <t>Phase 6</t>
        </is>
      </c>
      <c r="C56" t="inlineStr">
        <is>
          <t>Observability &amp; Reliability</t>
        </is>
      </c>
      <c r="D56" t="inlineStr">
        <is>
          <t>Add MCP call + GCS evidence-store tracing spans</t>
        </is>
      </c>
      <c r="E56" t="inlineStr">
        <is>
          <t>Completed</t>
        </is>
      </c>
      <c r="F56" t="inlineStr">
        <is>
          <t>Medium</t>
        </is>
      </c>
      <c r="I56" t="inlineStr">
        <is>
          <t>No dedicated span existed per MCP tool call or GCS evidence write -- only the enclosing LangGraph node span. Added agent/nodes/tool_executor.py (mcp.&lt;tool&gt; span) and agent/gcs_client.py (gcs.write_evidence span), using the existing set_span_attributes() helper so a span-attribute error can never be misread as the underlying operation failing. PR #179 merged + deployed. LIVE-VALIDATED 2026-08-24: ran a real deployed investigation (make smoke, run_20260824_055651_zkmf), confirmed via scripts/verify_trace_export.py + a direct Cloud Trace API read -- trace 62fb09812147140a06803d1f0d992909 contains 3 mcp.* spans (mcp.list_k8s_events, mcp.describe_k8s_resource x2) with correct tool/server/duration_ms/status attributes, and 3 gcs.write_evidence spans with correct run_id/evidence_id/bucket/duration_ms/ok attributes.</t>
        </is>
      </c>
    </row>
    <row r="57">
      <c r="A57" t="n">
        <v>162</v>
      </c>
      <c r="B57" t="inlineStr">
        <is>
          <t>Phase 6</t>
        </is>
      </c>
      <c r="C57" t="inlineStr">
        <is>
          <t>Observability &amp; Reliability</t>
        </is>
      </c>
      <c r="D57" t="inlineStr">
        <is>
          <t>Fix scripts/register_endpoints.py stale GRPC-only assumption for Cloud Logging</t>
        </is>
      </c>
      <c r="E57" t="inlineStr">
        <is>
          <t>Completed</t>
        </is>
      </c>
      <c r="F57" t="inlineStr">
        <is>
          <t>Medium</t>
        </is>
      </c>
      <c r="I57" t="inlineStr">
        <is>
          <t>_GRPC_ONLY_HOSTNAMES still listed logging.googleapis.com/logging.mtls.googleapis.com as GRPC-only -- the exact assumption issue #139 disproved. A full re-registration (fresh project, DR, manual delete+recreate) would have silently reintroduced #139, since the script only skips re-checking protocol on entries that already exist. Fixed: moved the 2 logging hosts to a new _HTTP_JSON_HOSTNAMES set; protocol_binding_for() now returns HTTP_JSON for them, GRPC still correct for the 2 cloudtrace hosts. PR #179 merged + deployed. Validated: 3 unit tests (tests/test_register_endpoints_protocol.py) covering all 3 branches. No live re-registration event to check against under normal operation (only triggers on full rebuild/DR) -- the existing live us-central1-logging registry entry already carries the correct HTTP_JSON binding (confirmed earlier this session, unrelated to this specific code path).</t>
        </is>
      </c>
    </row>
    <row r="58">
      <c r="A58" t="n">
        <v>163</v>
      </c>
      <c r="B58" t="inlineStr">
        <is>
          <t>Phase 6</t>
        </is>
      </c>
      <c r="C58" t="inlineStr">
        <is>
          <t>Observability &amp; Reliability</t>
        </is>
      </c>
      <c r="D58" t="inlineStr">
        <is>
          <t>5 alert policies used resource.type="global", never matched real log entries</t>
        </is>
      </c>
      <c r="E58" t="inlineStr">
        <is>
          <t>Completed</t>
        </is>
      </c>
      <c r="F58" t="inlineStr">
        <is>
          <t>P2-medium-fix</t>
        </is>
      </c>
      <c r="I58" t="inlineStr">
        <is>
          <t>routing_failures, gke_mcp_failures, custom_mcp_failures, repeated_tool_failures, evidence_storage_failures (iac/agent/monitoring.tf) filtered on resource.type="global" -- never matched, so these 5 alerts could never fire. Root cause: they source from the same cloud_logging.Client(_use_grpc=False) loggers fixed for issue #139 (row 159), which write as resource.type="cloud_run_revision", not "global" and not aiplatform.googleapis.com/ReasoningEngine (that type is only for the separate stdout-based path fixed in PR #173's 6 alerts). Fixed in PR #178, merged + deployed (CI run 32694669742). LIVE-VALIDATED 2026-08-24: `gcloud monitoring policies list --project=sreagent-t2-demo` confirms all 5 policies now filter on resource.type="cloud_run_revision".</t>
        </is>
      </c>
    </row>
    <row r="59">
      <c r="A59" t="n">
        <v>4</v>
      </c>
      <c r="B59" t="inlineStr">
        <is>
          <t>Phase 0</t>
        </is>
      </c>
      <c r="C59" t="inlineStr">
        <is>
          <t>Protect Current Working Setup</t>
        </is>
      </c>
      <c r="D59" t="inlineStr">
        <is>
          <t>Capture successful end-to-end investigation with logs and traces</t>
        </is>
      </c>
      <c r="E59" t="inlineStr">
        <is>
          <t>Completed</t>
        </is>
      </c>
      <c r="F59" t="inlineStr">
        <is>
          <t>High</t>
        </is>
      </c>
      <c r="I59" t="inlineStr">
        <is>
          <t>CLOSED 2026-08-24. Requirement was 'logs and traces together' for a full end-to-end investigation (GitHub #130 / tracker ID 62). Structured logs were already independently verified. Traces: row 62's original fix (#130, PR #136/#137) already proved this live on 2026-08-13 -- run_20260813_222248_ybag, trace ada23f5a144e8b327fe6fc51c3a426b4, 54 correlated spans (outer + all LangGraph nodes + Gemini calls). This row was never updated to reflect that same-day fix. Reconfirmed fresh tonight: run_20260824_055651_zkmf, trace 62fb09812147140a06803d1f0d992909, 40 spans, now also including the new mcp.*/gcs.write_evidence spans (row 161). Both logs and traces are real, live, and currently working -- not a one-time proof.</t>
        </is>
      </c>
    </row>
    <row r="60">
      <c r="A60" t="n">
        <v>16</v>
      </c>
      <c r="B60" t="inlineStr">
        <is>
          <t>Phase 1</t>
        </is>
      </c>
      <c r="C60" t="inlineStr">
        <is>
          <t>Production Readiness</t>
        </is>
      </c>
      <c r="D60" t="inlineStr">
        <is>
          <t>Validate evidence storage</t>
        </is>
      </c>
      <c r="E60" t="inlineStr">
        <is>
          <t>Completed</t>
        </is>
      </c>
      <c r="F60" t="inlineStr">
        <is>
          <t>High</t>
        </is>
      </c>
      <c r="I60" t="inlineStr">
        <is>
          <t>CLOSED 2026-08-24. 'Auditable persistence' checked against 4 pillars, each with a file:line or live citation, not assumed: (1) write succeeds -- live-confirmed tonight via gcs.write_evidence spans (ev_001/002/003, ok=true, real bucket/duration_ms). (2) redaction applied before write -- confirmed wired at agent/nodes/evidence_extractor.py:91 (redact(raw) called before write_evidence()), not just a standalone unused function. (3) failure path is auditable -- a permanent GCS write failure writes a structured Cloud Logging event (tests/test_observability.py::test_write_evidence_permanent_failure_writes_structured_log, passing) and now also a gcs.write_evidence span with ok=False (tests/test_gcs_evidence_span.py::test_gcs_span_records_failure_after_retries_exhausted, passing). (4) every write is attributable -- run_id + evidence_id present on both the failure log entry and the live trace span.</t>
        </is>
      </c>
    </row>
    <row r="61">
      <c r="A61" t="n">
        <v>164</v>
      </c>
      <c r="B61" t="inlineStr">
        <is>
          <t>Phase 1</t>
        </is>
      </c>
      <c r="C61" t="inlineStr">
        <is>
          <t>Production Readiness</t>
        </is>
      </c>
      <c r="D61" t="inlineStr">
        <is>
          <t>Issue #85: Custom Cloud Run MCP fallback confirmed operational (issue closed as not-planned)</t>
        </is>
      </c>
      <c r="E61" t="inlineStr">
        <is>
          <t>Completed</t>
        </is>
      </c>
      <c r="F61" t="inlineStr">
        <is>
          <t>P2-medium-fix</t>
        </is>
      </c>
      <c r="I61" t="inlineStr">
        <is>
          <t>CLOSED 2026-08-27 as not-planned -- the issue's premise was contradicted by a real live test. #85 was filed 2026-08-10 from a static code/Terraform read claiming the custom Cloud Run MCP fallback could not build a k8s client and had no reachable connectivity path. On 2026-08-25 the path was exercised for real (PRs #193/#194: gke_remote_mcp's URL temporarily broken to force fallback, deployed via normal CI, then reverted the same way). CI's own smoke test -- not a staged local run -- returned primary_mcp_source='gke_remote_mcp', actual_mcp_sources=['k8s_mcp'], passed. Evidence: docs/management/custom-mcp-model-armor-coverage-2026-08-25.md. DOES NOT cover: the fallback is unprotected -- that traffic transits the Agent Gateway but Model Armor does not inspect it (0 GOOGLE_MCP_SERVER vs 12 VERTEX_AI log entries in the same window); tracked separately. Multi-cluster half of #85's body (single global K8S_MCP_URL, mcp/server.py:78 @lru_cache(maxsize=1), no per-cluster mcp_url in variables.tf) moved to #86 -- verified still present on main today, NOT fixed by this closure.</t>
        </is>
      </c>
    </row>
    <row r="62">
      <c r="A62" t="n">
        <v>166</v>
      </c>
      <c r="B62" t="inlineStr">
        <is>
          <t>Phase 4</t>
        </is>
      </c>
      <c r="C62" t="inlineStr">
        <is>
          <t>Dynamic Investigation &amp; Confidence</t>
        </is>
      </c>
      <c r="D62" t="inlineStr">
        <is>
          <t>Issue #206: resource_identity_match scored 0.0 on an unambiguous case -- trusted LLM free text instead of real evidence</t>
        </is>
      </c>
      <c r="E62" t="inlineStr">
        <is>
          <t>Completed</t>
        </is>
      </c>
      <c r="F62" t="inlineStr">
        <is>
          <t>High</t>
        </is>
      </c>
      <c r="I62" t="inlineStr">
        <is>
          <t>LIVE-VALIDATED 2026-08-27. Deployed via terraform-apply run 33108575687 (apply 6m34s, smoke test passed). Re-ran the exact same imagepull scenario (run_20260827_205724_odwb) that originally exposed the bug: root_cause_confidence.components.resource_identity_match went from 0.0 to 1.0 -- the predicted fix, confirmed against a real deployed run, not just unit tests. Overall confidence moved 0.74 -&gt; 0.835. Investigation stayed in the REVIEW band, but now for unrelated, legitimate reasons (direct_support 0.5 -- 2 of 4 claims are inference rather than independently grounded fact; one claim on '0 restarts' scored weak_overlap) -- not a regression, a different, real scoring signal working as designed.</t>
        </is>
      </c>
    </row>
    <row r="63">
      <c r="A63" t="n">
        <v>167</v>
      </c>
      <c r="B63" t="inlineStr">
        <is>
          <t>Phase 4</t>
        </is>
      </c>
      <c r="C63" t="inlineStr">
        <is>
          <t>Dynamic Investigation &amp; Confidence</t>
        </is>
      </c>
      <c r="D63" t="inlineStr">
        <is>
          <t>Issue #209: task_planner/mcp_router never saw the original query -- blank Pod hint caused the agent to investigate the wrong resource entirely</t>
        </is>
      </c>
      <c r="E63" t="inlineStr">
        <is>
          <t>Completed</t>
        </is>
      </c>
      <c r="F63" t="inlineStr">
        <is>
          <t>Critical</t>
        </is>
      </c>
      <c r="I63" t="inlineStr">
        <is>
          <t>MERGED and DEPLOYED 2026-08-27 (PR #210, terraform-apply run succeeded, smoke test passed). Found during confidence-calibration baseline work: a real test case ('notification-svc shows no endpoints', no pod hint) investigated a completely unrelated pod's missing ConfigMap instead, scoring it 0.95 confidence -- high confidence, wrong incident. Root cause: task_planner/mcp_router only ever saw normalized namespace/pod fields, never the original incident report; a blank pod left no way to recover the real target, so the first tool call went unscoped across the whole (busy) namespace and locked onto whatever was loudest. Fix: thread user_query into both prompts, with explicit scoping instructions. LIVE-VALIDATED: re-ran the exact same case after the fix -- correctly targeted notification-svc. 2 new regression tests, full suite 352/352 at merge time. Surfaced a second, narrower issue (wrong resourceType guess + over-weighted a resulting NotFound into a false conclusion) -- not fixed here, needs its own pass.</t>
        </is>
      </c>
    </row>
    <row r="64">
      <c r="A64" t="n">
        <v>168</v>
      </c>
      <c r="B64" t="inlineStr">
        <is>
          <t>Phase 4</t>
        </is>
      </c>
      <c r="C64" t="inlineStr">
        <is>
          <t>Dynamic Investigation &amp; Confidence</t>
        </is>
      </c>
      <c r="D64" t="inlineStr">
        <is>
          <t>Issue #211: get_k8s_logs silently dropped the container argument -- Istio/sidecar pods default to the wrong container's logs</t>
        </is>
      </c>
      <c r="E64" t="inlineStr">
        <is>
          <t>Completed</t>
        </is>
      </c>
      <c r="F64" t="inlineStr">
        <is>
          <t>High</t>
        </is>
      </c>
      <c r="I64" t="inlineStr">
        <is>
          <t>MERGED and DEPLOYED 2026-08-27 (PR #212, terraform-apply run succeeded, smoke test passed). User-reported: real work-environment pods run with an Istio sidecar, and the agent was seen investigating the wrong container. Reproduced live against a real 2-container test pod (istio-proxy + app): with no container argument forwarded, Kubernetes itself defaulted to the sidecar -- confirmed via the real API response 'Defaulted container "istio-proxy" out of: istio-proxy, app'. Root cause: agent/mcp_client.py's request builder silently dropped `container` even when supplied, and no tool description ever told the model it was an option. Fix: forward container through, expose it in both MCP tool descriptions, add explicit SIDECAR guidance (check container list first, prefer the app container over common sidecar/infra names) to the router prompt. 3 new regression tests (deterministic, on the request builder itself), full suite 355/355. CAVEAT, not yet closed further: tested against a synthetic 2-container pod, not a real Istio-injected one -- no Istio installed in this test cluster. The code fix and the live Kubernetes default-container behavior are both confirmed real; a genuine istio-proxy sidecar has not been used to verify end-to-end.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2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Tag/version known-good deployment state</t>
        </is>
      </c>
      <c r="E2" t="inlineStr">
        <is>
          <t>In Progress</t>
        </is>
      </c>
      <c r="F2" t="inlineStr">
        <is>
          <t>Medium</t>
        </is>
      </c>
      <c r="I2" t="inlineStr">
        <is>
          <t>Keep an explicit rollback reference/tag.</t>
        </is>
      </c>
    </row>
    <row r="3">
      <c r="A3" t="n">
        <v>5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Document rollback and recovery steps</t>
        </is>
      </c>
      <c r="E3" t="inlineStr">
        <is>
          <t>In Progress</t>
        </is>
      </c>
      <c r="F3" t="inlineStr">
        <is>
          <t>High</t>
        </is>
      </c>
      <c r="I3" t="inlineStr">
        <is>
          <t>Needs final validation.</t>
        </is>
      </c>
    </row>
    <row r="4">
      <c r="A4" t="n">
        <v>8</v>
      </c>
      <c r="B4" t="inlineStr">
        <is>
          <t>Phase 1</t>
        </is>
      </c>
      <c r="C4" t="inlineStr">
        <is>
          <t>Production Readiness</t>
        </is>
      </c>
      <c r="D4" t="inlineStr">
        <is>
          <t>Consolidate production roadmap</t>
        </is>
      </c>
      <c r="E4" t="inlineStr">
        <is>
          <t>In Progress</t>
        </is>
      </c>
      <c r="F4" t="inlineStr">
        <is>
          <t>High</t>
        </is>
      </c>
      <c r="I4" t="inlineStr">
        <is>
          <t>Use this tracker as the consolidated source of truth.</t>
        </is>
      </c>
    </row>
    <row r="5">
      <c r="A5" t="n">
        <v>9</v>
      </c>
      <c r="B5" t="inlineStr">
        <is>
          <t>Phase 1</t>
        </is>
      </c>
      <c r="C5" t="inlineStr">
        <is>
          <t>Production Readiness</t>
        </is>
      </c>
      <c r="D5" t="inlineStr">
        <is>
          <t>Complete Production Readiness Review</t>
        </is>
      </c>
      <c r="E5" t="inlineStr">
        <is>
          <t>In Progress</t>
        </is>
      </c>
      <c r="F5" t="inlineStr">
        <is>
          <t>Critical</t>
        </is>
      </c>
      <c r="I5" t="inlineStr">
        <is>
          <t>Multiple launch gaps remain.</t>
        </is>
      </c>
    </row>
    <row r="6">
      <c r="A6" t="n">
        <v>10</v>
      </c>
      <c r="B6" t="inlineStr">
        <is>
          <t>Phase 1</t>
        </is>
      </c>
      <c r="C6" t="inlineStr">
        <is>
          <t>Production Readiness</t>
        </is>
      </c>
      <c r="D6" t="inlineStr">
        <is>
          <t>Map architecture, data flow and trust boundaries</t>
        </is>
      </c>
      <c r="E6" t="inlineStr">
        <is>
          <t>In Progress</t>
        </is>
      </c>
      <c r="F6" t="inlineStr">
        <is>
          <t>High</t>
        </is>
      </c>
      <c r="I6" t="inlineStr">
        <is>
          <t>Architecture exists; trust-boundary validation remains.</t>
        </is>
      </c>
    </row>
    <row r="7">
      <c r="A7" t="n">
        <v>11</v>
      </c>
      <c r="B7" t="inlineStr">
        <is>
          <t>Phase 1</t>
        </is>
      </c>
      <c r="C7" t="inlineStr">
        <is>
          <t>Production Readiness</t>
        </is>
      </c>
      <c r="D7" t="inlineStr">
        <is>
          <t>Validate Agent Gateway architecture</t>
        </is>
      </c>
      <c r="E7" t="inlineStr">
        <is>
          <t>In Progress</t>
        </is>
      </c>
      <c r="F7" t="inlineStr">
        <is>
          <t>High</t>
        </is>
      </c>
      <c r="I7" t="inlineStr">
        <is>
          <t>Gateway works; final production validation remains.</t>
        </is>
      </c>
    </row>
    <row r="8">
      <c r="A8" t="n">
        <v>13</v>
      </c>
      <c r="B8" t="inlineStr">
        <is>
          <t>Phase 1</t>
        </is>
      </c>
      <c r="C8" t="inlineStr">
        <is>
          <t>Production Readiness</t>
        </is>
      </c>
      <c r="D8" t="inlineStr">
        <is>
          <t>Validate IAM and identities</t>
        </is>
      </c>
      <c r="E8" t="inlineStr">
        <is>
          <t>In Progress</t>
        </is>
      </c>
      <c r="F8" t="inlineStr">
        <is>
          <t>Critical</t>
        </is>
      </c>
      <c r="I8" t="inlineStr">
        <is>
          <t>Cross-project and least-privilege review remains.</t>
        </is>
      </c>
    </row>
    <row r="9">
      <c r="A9" t="n">
        <v>15</v>
      </c>
      <c r="B9" t="inlineStr">
        <is>
          <t>Phase 1</t>
        </is>
      </c>
      <c r="C9" t="inlineStr">
        <is>
          <t>Production Readiness</t>
        </is>
      </c>
      <c r="D9" t="inlineStr">
        <is>
          <t>Review secrets and sensitive-data handling</t>
        </is>
      </c>
      <c r="E9" t="inlineStr">
        <is>
          <t>In Progress</t>
        </is>
      </c>
      <c r="F9" t="inlineStr">
        <is>
          <t>High</t>
        </is>
      </c>
      <c r="I9" t="inlineStr">
        <is>
          <t>Final security review required.</t>
        </is>
      </c>
    </row>
    <row r="10">
      <c r="A10" t="n">
        <v>20</v>
      </c>
      <c r="B10" t="inlineStr">
        <is>
          <t>Phase 2</t>
        </is>
      </c>
      <c r="C10" t="inlineStr">
        <is>
          <t>Agent Gateway &amp; Model Armor</t>
        </is>
      </c>
      <c r="D10" t="inlineStr">
        <is>
          <t>Final Agent Gateway production validation</t>
        </is>
      </c>
      <c r="E10" t="inlineStr">
        <is>
          <t>In Progress</t>
        </is>
      </c>
      <c r="F10" t="inlineStr">
        <is>
          <t>High</t>
        </is>
      </c>
      <c r="I10" t="inlineStr">
        <is>
          <t>Validate complete traffic/security behavior.</t>
        </is>
      </c>
    </row>
    <row r="11">
      <c r="A11" t="n">
        <v>21</v>
      </c>
      <c r="B11" t="inlineStr">
        <is>
          <t>Phase 2</t>
        </is>
      </c>
      <c r="C11" t="inlineStr">
        <is>
          <t>Agent Gateway &amp; Model Armor</t>
        </is>
      </c>
      <c r="D11" t="inlineStr">
        <is>
          <t>Confirm current Model Armor configuration</t>
        </is>
      </c>
      <c r="E11" t="inlineStr">
        <is>
          <t>In Progress</t>
        </is>
      </c>
      <c r="F11" t="inlineStr">
        <is>
          <t>High</t>
        </is>
      </c>
      <c r="I11" t="inlineStr">
        <is>
          <t>UPDATED 2026-08-25: Model Armor floor settings now fully live for Google-managed paths (GOOGLE_MCP_SERVER + AI_PLATFORM), enforcement on, inspect_only (never blocks). PR #183 (adopt+enable) and PR #187 (add SDP) both merged + applied via CI, both live-verified. Real detector tests, not synthetic-and-untested: malicious_uris caught both Google Safe Browsing test URIs with exact byte offsets (8/8); pi_and_jailbreak caught a real jailbreak payload in a short prompt but missed the same payload in a longer one (evidence-specific finding, not a blanket pass/fail); SDP caught a test credit-card number at VERY_LIKELY confidence with byte offsets (first attempt used the wrong info-type category -- email/IP aren't in basic config's fixed set, corrected and retested). Full evidence: docs/management/floor-settings-production-plan-2026-08-25.md. Still open, the one real remaining gap: GOOGLE_MCP_SERVER floor settings do NOT cover this project's custom/non-Google MCP fallback path -- zero coverage there, not yet validated at all. | UPDATE 2026-09-05: see row 165 -- root cause found (wrong IAM service agent + stale warm container), Model Armor invocation now genuinely proven live; remaining RESPONSE_BODY gap confirmed as a documented Google platform limitation (Streamable HTTP/SSE MCP transport), accepted, not an open investigation.</t>
        </is>
      </c>
    </row>
    <row r="12">
      <c r="A12" t="n">
        <v>22</v>
      </c>
      <c r="B12" t="inlineStr">
        <is>
          <t>Phase 2</t>
        </is>
      </c>
      <c r="C12" t="inlineStr">
        <is>
          <t>Agent Gateway &amp; Model Armor</t>
        </is>
      </c>
      <c r="D12" t="inlineStr">
        <is>
          <t>Retest Model Armor in clean environment</t>
        </is>
      </c>
      <c r="E12" t="inlineStr">
        <is>
          <t>In Progress</t>
        </is>
      </c>
      <c r="F12" t="inlineStr">
        <is>
          <t>High</t>
        </is>
      </c>
      <c r="I12" t="inlineStr">
        <is>
          <t>Controlled validation pending.</t>
        </is>
      </c>
    </row>
    <row r="13">
      <c r="A13" t="n">
        <v>30</v>
      </c>
      <c r="B13" t="inlineStr">
        <is>
          <t>Phase 3</t>
        </is>
      </c>
      <c r="C13" t="inlineStr">
        <is>
          <t>RCA Output &amp; Evidence</t>
        </is>
      </c>
      <c r="D13" t="inlineStr">
        <is>
          <t>Executive-first RCA output redesign</t>
        </is>
      </c>
      <c r="E13" t="inlineStr">
        <is>
          <t>In Progress</t>
        </is>
      </c>
      <c r="F13" t="inlineStr">
        <is>
          <t>Medium</t>
        </is>
      </c>
      <c r="I13" t="inlineStr">
        <is>
          <t>Hardening/simplification remains.</t>
        </is>
      </c>
    </row>
    <row r="14">
      <c r="A14" t="n">
        <v>31</v>
      </c>
      <c r="B14" t="inlineStr">
        <is>
          <t>Phase 3</t>
        </is>
      </c>
      <c r="C14" t="inlineStr">
        <is>
          <t>RCA Output &amp; Evidence</t>
        </is>
      </c>
      <c r="D14" t="inlineStr">
        <is>
          <t>Remove duplicated/weak root-cause claims</t>
        </is>
      </c>
      <c r="E14" t="inlineStr">
        <is>
          <t>In Progress</t>
        </is>
      </c>
      <c r="F14" t="inlineStr">
        <is>
          <t>High</t>
        </is>
      </c>
      <c r="I14" t="inlineStr">
        <is>
          <t>Grounding-quality fixes remain.</t>
        </is>
      </c>
    </row>
    <row r="15">
      <c r="A15" t="n">
        <v>32</v>
      </c>
      <c r="B15" t="inlineStr">
        <is>
          <t>Phase 3</t>
        </is>
      </c>
      <c r="C15" t="inlineStr">
        <is>
          <t>RCA Output &amp; Evidence</t>
        </is>
      </c>
      <c r="D15" t="inlineStr">
        <is>
          <t>Supporting, contradicting and missing evidence</t>
        </is>
      </c>
      <c r="E15" t="inlineStr">
        <is>
          <t>In Progress</t>
        </is>
      </c>
      <c r="F15" t="inlineStr">
        <is>
          <t>High</t>
        </is>
      </c>
      <c r="I15" t="inlineStr">
        <is>
          <t>Needs stronger deterministic handling.</t>
        </is>
      </c>
    </row>
    <row r="16">
      <c r="A16" t="n">
        <v>33</v>
      </c>
      <c r="B16" t="inlineStr">
        <is>
          <t>Phase 3</t>
        </is>
      </c>
      <c r="C16" t="inlineStr">
        <is>
          <t>RCA Output &amp; Evidence</t>
        </is>
      </c>
      <c r="D16" t="inlineStr">
        <is>
          <t>Affected-resource and incident-time information</t>
        </is>
      </c>
      <c r="E16" t="inlineStr">
        <is>
          <t>In Progress</t>
        </is>
      </c>
      <c r="F16" t="inlineStr">
        <is>
          <t>Medium</t>
        </is>
      </c>
      <c r="I16" t="inlineStr">
        <is>
          <t>Time/resource validation needs improvement.</t>
        </is>
      </c>
    </row>
    <row r="17">
      <c r="A17" t="n">
        <v>34</v>
      </c>
      <c r="B17" t="inlineStr">
        <is>
          <t>Phase 3</t>
        </is>
      </c>
      <c r="C17" t="inlineStr">
        <is>
          <t>RCA Output &amp; Evidence</t>
        </is>
      </c>
      <c r="D17" t="inlineStr">
        <is>
          <t>Alternatives considered</t>
        </is>
      </c>
      <c r="E17" t="inlineStr">
        <is>
          <t>In Progress</t>
        </is>
      </c>
      <c r="F17" t="inlineStr">
        <is>
          <t>Medium</t>
        </is>
      </c>
      <c r="I17" t="inlineStr">
        <is>
          <t>Dynamic alternative-cause handling incomplete.</t>
        </is>
      </c>
    </row>
    <row r="18">
      <c r="A18" t="n">
        <v>39</v>
      </c>
      <c r="B18" t="inlineStr">
        <is>
          <t>Phase 4</t>
        </is>
      </c>
      <c r="C18" t="inlineStr">
        <is>
          <t>Dynamic Investigation &amp; Confidence</t>
        </is>
      </c>
      <c r="D18" t="inlineStr">
        <is>
          <t>Contradiction handling</t>
        </is>
      </c>
      <c r="E18" t="inlineStr">
        <is>
          <t>In Progress</t>
        </is>
      </c>
      <c r="F18" t="inlineStr">
        <is>
          <t>High</t>
        </is>
      </c>
      <c r="I18" t="inlineStr">
        <is>
          <t>Needs production hardening.</t>
        </is>
      </c>
    </row>
    <row r="19">
      <c r="A19" t="n">
        <v>40</v>
      </c>
      <c r="B19" t="inlineStr">
        <is>
          <t>Phase 4</t>
        </is>
      </c>
      <c r="C19" t="inlineStr">
        <is>
          <t>Dynamic Investigation &amp; Confidence</t>
        </is>
      </c>
      <c r="D19" t="inlineStr">
        <is>
          <t>Missing/failed/stale evidence penalties and caps</t>
        </is>
      </c>
      <c r="E19" t="inlineStr">
        <is>
          <t>In Progress</t>
        </is>
      </c>
      <c r="F19" t="inlineStr">
        <is>
          <t>High</t>
        </is>
      </c>
      <c r="I19" t="inlineStr">
        <is>
          <t>Coverage bug remains in some failed-tool cases.</t>
        </is>
      </c>
    </row>
    <row r="20">
      <c r="A20" t="n">
        <v>42</v>
      </c>
      <c r="B20" t="inlineStr">
        <is>
          <t>Phase 4</t>
        </is>
      </c>
      <c r="C20" t="inlineStr">
        <is>
          <t>Dynamic Investigation &amp; Confidence</t>
        </is>
      </c>
      <c r="D20" t="inlineStr">
        <is>
          <t>Dynamic investigation loop</t>
        </is>
      </c>
      <c r="E20" t="inlineStr">
        <is>
          <t>In Progress</t>
        </is>
      </c>
      <c r="F20" t="inlineStr">
        <is>
          <t>Critical</t>
        </is>
      </c>
      <c r="I20" t="inlineStr">
        <is>
          <t>Loop exists; correctness gaps remain.</t>
        </is>
      </c>
    </row>
    <row r="21">
      <c r="A21" t="n">
        <v>43</v>
      </c>
      <c r="B21" t="inlineStr">
        <is>
          <t>Phase 4</t>
        </is>
      </c>
      <c r="C21" t="inlineStr">
        <is>
          <t>Dynamic Investigation &amp; Confidence</t>
        </is>
      </c>
      <c r="D21" t="inlineStr">
        <is>
          <t>Dynamic hypothesis generation/testing</t>
        </is>
      </c>
      <c r="E21" t="inlineStr">
        <is>
          <t>In Progress</t>
        </is>
      </c>
      <c r="F21" t="inlineStr">
        <is>
          <t>High</t>
        </is>
      </c>
      <c r="I21" t="inlineStr">
        <is>
          <t>Expected-vs-contradicting evidence loop incomplete.</t>
        </is>
      </c>
    </row>
    <row r="22">
      <c r="A22" t="n">
        <v>45</v>
      </c>
      <c r="B22" t="inlineStr">
        <is>
          <t>Phase 4</t>
        </is>
      </c>
      <c r="C22" t="inlineStr">
        <is>
          <t>Dynamic Investigation &amp; Confidence</t>
        </is>
      </c>
      <c r="D22" t="inlineStr">
        <is>
          <t>Support multiple possible causes</t>
        </is>
      </c>
      <c r="E22" t="inlineStr">
        <is>
          <t>In Progress</t>
        </is>
      </c>
      <c r="F22" t="inlineStr">
        <is>
          <t>Medium</t>
        </is>
      </c>
      <c r="I22" t="inlineStr">
        <is>
          <t>Needs validation.</t>
        </is>
      </c>
    </row>
    <row r="23">
      <c r="A23" t="n">
        <v>50</v>
      </c>
      <c r="B23" t="inlineStr">
        <is>
          <t>Phase 5</t>
        </is>
      </c>
      <c r="C23" t="inlineStr">
        <is>
          <t>Testing &amp; Evaluation</t>
        </is>
      </c>
      <c r="D23" t="inlineStr">
        <is>
          <t>Unit tests for all LangGraph nodes</t>
        </is>
      </c>
      <c r="E23" t="inlineStr">
        <is>
          <t>In Progress</t>
        </is>
      </c>
      <c r="F23" t="inlineStr">
        <is>
          <t>High</t>
        </is>
      </c>
      <c r="I23" t="inlineStr">
        <is>
          <t>Several direct node tests remain.</t>
        </is>
      </c>
    </row>
    <row r="24">
      <c r="A24" t="n">
        <v>53</v>
      </c>
      <c r="B24" t="inlineStr">
        <is>
          <t>Phase 5</t>
        </is>
      </c>
      <c r="C24" t="inlineStr">
        <is>
          <t>Testing &amp; Evaluation</t>
        </is>
      </c>
      <c r="D24" t="inlineStr">
        <is>
          <t>Expand production-like golden scenarios</t>
        </is>
      </c>
      <c r="E24" t="inlineStr">
        <is>
          <t>In Progress</t>
        </is>
      </c>
      <c r="F24" t="inlineStr">
        <is>
          <t>High</t>
        </is>
      </c>
      <c r="I24" t="inlineStr">
        <is>
          <t>Add complex/conflicting/stale/missing evidence.</t>
        </is>
      </c>
    </row>
    <row r="25">
      <c r="A25" t="n">
        <v>54</v>
      </c>
      <c r="B25" t="inlineStr">
        <is>
          <t>Phase 5</t>
        </is>
      </c>
      <c r="C25" t="inlineStr">
        <is>
          <t>Testing &amp; Evaluation</t>
        </is>
      </c>
      <c r="D25" t="inlineStr">
        <is>
          <t>MCP failure and wrong-cluster safety tests</t>
        </is>
      </c>
      <c r="E25" t="inlineStr">
        <is>
          <t>In Progress</t>
        </is>
      </c>
      <c r="F25" t="inlineStr">
        <is>
          <t>Critical</t>
        </is>
      </c>
      <c r="I25" t="inlineStr">
        <is>
          <t>Routing-safety testing incomplete.</t>
        </is>
      </c>
    </row>
    <row r="26">
      <c r="A26" t="n">
        <v>56</v>
      </c>
      <c r="B26" t="inlineStr">
        <is>
          <t>Phase 5</t>
        </is>
      </c>
      <c r="C26" t="inlineStr">
        <is>
          <t>Testing &amp; Evaluation</t>
        </is>
      </c>
      <c r="D26" t="inlineStr">
        <is>
          <t>Regression tests for fixed issues</t>
        </is>
      </c>
      <c r="E26" t="inlineStr">
        <is>
          <t>In Progress</t>
        </is>
      </c>
      <c r="F26" t="inlineStr">
        <is>
          <t>High</t>
        </is>
      </c>
      <c r="I26" t="inlineStr">
        <is>
          <t>Continue adding for every fix.</t>
        </is>
      </c>
    </row>
    <row r="27">
      <c r="A27" t="n">
        <v>66</v>
      </c>
      <c r="B27" t="inlineStr">
        <is>
          <t>Phase 6</t>
        </is>
      </c>
      <c r="C27" t="inlineStr">
        <is>
          <t>Observability &amp; Reliability</t>
        </is>
      </c>
      <c r="D27" t="inlineStr">
        <is>
          <t>Define retry, timeout and backoff behaviour</t>
        </is>
      </c>
      <c r="E27" t="inlineStr">
        <is>
          <t>In Progress</t>
        </is>
      </c>
      <c r="F27" t="inlineStr">
        <is>
          <t>Critical</t>
        </is>
      </c>
      <c r="I27" t="inlineStr">
        <is>
          <t>Align client/backend/tool behavior.</t>
        </is>
      </c>
    </row>
    <row r="28">
      <c r="A28" t="n">
        <v>67</v>
      </c>
      <c r="B28" t="inlineStr">
        <is>
          <t>Phase 6</t>
        </is>
      </c>
      <c r="C28" t="inlineStr">
        <is>
          <t>Observability &amp; Reliability</t>
        </is>
      </c>
      <c r="D28" t="inlineStr">
        <is>
          <t>Define investigation/tool/token/cost limits</t>
        </is>
      </c>
      <c r="E28" t="inlineStr">
        <is>
          <t>In Progress</t>
        </is>
      </c>
      <c r="F28" t="inlineStr">
        <is>
          <t>High</t>
        </is>
      </c>
      <c r="I28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29">
      <c r="A29" t="n">
        <v>68</v>
      </c>
      <c r="B29" t="inlineStr">
        <is>
          <t>Phase 6</t>
        </is>
      </c>
      <c r="C29" t="inlineStr">
        <is>
          <t>Observability &amp; Reliability</t>
        </is>
      </c>
      <c r="D29" t="inlineStr">
        <is>
          <t>Create operational runbooks</t>
        </is>
      </c>
      <c r="E29" t="inlineStr">
        <is>
          <t>In Progress</t>
        </is>
      </c>
      <c r="F29" t="inlineStr">
        <is>
          <t>Medium</t>
        </is>
      </c>
      <c r="I29" t="inlineStr">
        <is>
          <t>Needs final procedures.</t>
        </is>
      </c>
    </row>
    <row r="30">
      <c r="A30" t="n">
        <v>72</v>
      </c>
      <c r="B30" t="inlineStr">
        <is>
          <t>Phase 7</t>
        </is>
      </c>
      <c r="C30" t="inlineStr">
        <is>
          <t>Multi-Cluster Scalability</t>
        </is>
      </c>
      <c r="D30" t="inlineStr">
        <is>
          <t>Cluster onboarding/update/removal/rollback workflow</t>
        </is>
      </c>
      <c r="E30" t="inlineStr">
        <is>
          <t>In Progress</t>
        </is>
      </c>
      <c r="F30" t="inlineStr">
        <is>
          <t>High</t>
        </is>
      </c>
      <c r="I30" t="inlineStr">
        <is>
          <t>Needs repeatable validation.</t>
        </is>
      </c>
    </row>
    <row r="31">
      <c r="A31" t="n">
        <v>74</v>
      </c>
      <c r="B31" t="inlineStr">
        <is>
          <t>Phase 7</t>
        </is>
      </c>
      <c r="C31" t="inlineStr">
        <is>
          <t>Multi-Cluster Scalability</t>
        </is>
      </c>
      <c r="D31" t="inlineStr">
        <is>
          <t>Cross-project IAM for additional clusters</t>
        </is>
      </c>
      <c r="E31" t="inlineStr">
        <is>
          <t>In Progress</t>
        </is>
      </c>
      <c r="F31" t="inlineStr">
        <is>
          <t>Critical</t>
        </is>
      </c>
      <c r="I31" t="inlineStr">
        <is>
          <t>Required for production scale.</t>
        </is>
      </c>
    </row>
    <row r="32">
      <c r="A32" t="n">
        <v>75</v>
      </c>
      <c r="B32" t="inlineStr">
        <is>
          <t>Phase 7</t>
        </is>
      </c>
      <c r="C32" t="inlineStr">
        <is>
          <t>Multi-Cluster Scalability</t>
        </is>
      </c>
      <c r="D32" t="inlineStr">
        <is>
          <t>Namespace and cluster access controls</t>
        </is>
      </c>
      <c r="E32" t="inlineStr">
        <is>
          <t>In Progress</t>
        </is>
      </c>
      <c r="F32" t="inlineStr">
        <is>
          <t>High</t>
        </is>
      </c>
      <c r="I32" t="inlineStr">
        <is>
          <t>Needs final isolation model.</t>
        </is>
      </c>
    </row>
    <row r="33">
      <c r="A33" t="n">
        <v>77</v>
      </c>
      <c r="B33" t="inlineStr">
        <is>
          <t>Phase 7</t>
        </is>
      </c>
      <c r="C33" t="inlineStr">
        <is>
          <t>Multi-Cluster Scalability</t>
        </is>
      </c>
      <c r="D33" t="inlineStr">
        <is>
          <t>Repeatable multi-cluster onboarding documentation</t>
        </is>
      </c>
      <c r="E33" t="inlineStr">
        <is>
          <t>In Progress</t>
        </is>
      </c>
      <c r="F33" t="inlineStr">
        <is>
          <t>Medium</t>
        </is>
      </c>
      <c r="I33" t="inlineStr">
        <is>
          <t>Runbook remains.</t>
        </is>
      </c>
    </row>
    <row r="34">
      <c r="A34" t="n">
        <v>81</v>
      </c>
      <c r="B34" t="inlineStr">
        <is>
          <t>Phase 8</t>
        </is>
      </c>
      <c r="C34" t="inlineStr">
        <is>
          <t>MCP Tool Architecture</t>
        </is>
      </c>
      <c r="D34" t="inlineStr">
        <is>
          <t>Source-agnostic MCP interface</t>
        </is>
      </c>
      <c r="E34" t="inlineStr">
        <is>
          <t>In Progress</t>
        </is>
      </c>
      <c r="F34" t="inlineStr">
        <is>
          <t>High</t>
        </is>
      </c>
      <c r="I34" t="inlineStr">
        <is>
          <t>Needs stronger common abstraction.</t>
        </is>
      </c>
    </row>
    <row r="35">
      <c r="A35" t="n">
        <v>82</v>
      </c>
      <c r="B35" t="inlineStr">
        <is>
          <t>Phase 8</t>
        </is>
      </c>
      <c r="C35" t="inlineStr">
        <is>
          <t>MCP Tool Architecture</t>
        </is>
      </c>
      <c r="D35" t="inlineStr">
        <is>
          <t>Normalize evidence returned by MCP servers</t>
        </is>
      </c>
      <c r="E35" t="inlineStr">
        <is>
          <t>In Progress</t>
        </is>
      </c>
      <c r="F35" t="inlineStr">
        <is>
          <t>High</t>
        </is>
      </c>
      <c r="I35" t="inlineStr">
        <is>
          <t>Common contract not fully generalized.</t>
        </is>
      </c>
    </row>
    <row r="36">
      <c r="A36" t="n">
        <v>83</v>
      </c>
      <c r="B36" t="inlineStr">
        <is>
          <t>Phase 8</t>
        </is>
      </c>
      <c r="C36" t="inlineStr">
        <is>
          <t>MCP Tool Architecture</t>
        </is>
      </c>
      <c r="D36" t="inlineStr">
        <is>
          <t>Repeatable MCP-server onboarding process</t>
        </is>
      </c>
      <c r="E36" t="inlineStr">
        <is>
          <t>In Progress</t>
        </is>
      </c>
      <c r="F36" t="inlineStr">
        <is>
          <t>Medium</t>
        </is>
      </c>
      <c r="I36" t="inlineStr">
        <is>
          <t>Needs documented contract.</t>
        </is>
      </c>
    </row>
    <row r="37">
      <c r="A37" t="n">
        <v>84</v>
      </c>
      <c r="B37" t="inlineStr">
        <is>
          <t>Phase 8</t>
        </is>
      </c>
      <c r="C37" t="inlineStr">
        <is>
          <t>MCP Tool Architecture</t>
        </is>
      </c>
      <c r="D37" t="inlineStr">
        <is>
          <t>Output trimming and evidence validation</t>
        </is>
      </c>
      <c r="E37" t="inlineStr">
        <is>
          <t>In Progress</t>
        </is>
      </c>
      <c r="F37" t="inlineStr">
        <is>
          <t>High</t>
        </is>
      </c>
      <c r="I37" t="inlineStr">
        <is>
          <t>Important for cost and grounding.</t>
        </is>
      </c>
    </row>
    <row r="38">
      <c r="A38" t="n">
        <v>85</v>
      </c>
      <c r="B38" t="inlineStr">
        <is>
          <t>Phase 8</t>
        </is>
      </c>
      <c r="C38" t="inlineStr">
        <is>
          <t>MCP Tool Architecture</t>
        </is>
      </c>
      <c r="D38" t="inlineStr">
        <is>
          <t>Timeout/retry/rate-limit/audit requirements</t>
        </is>
      </c>
      <c r="E38" t="inlineStr">
        <is>
          <t>In Progress</t>
        </is>
      </c>
      <c r="F38" t="inlineStr">
        <is>
          <t>High</t>
        </is>
      </c>
      <c r="I38" t="inlineStr">
        <is>
          <t>Needs production contract.</t>
        </is>
      </c>
    </row>
    <row r="39">
      <c r="A39" t="n">
        <v>89</v>
      </c>
      <c r="B39" t="inlineStr">
        <is>
          <t>Phase 9</t>
        </is>
      </c>
      <c r="C39" t="inlineStr">
        <is>
          <t>Cost &amp; Performance</t>
        </is>
      </c>
      <c r="D39" t="inlineStr">
        <is>
          <t>Measure investigation cost and latency</t>
        </is>
      </c>
      <c r="E39" t="inlineStr">
        <is>
          <t>In Progress</t>
        </is>
      </c>
      <c r="F39" t="inlineStr">
        <is>
          <t>High</t>
        </is>
      </c>
      <c r="I39" t="inlineStr">
        <is>
          <t>Latency regression currently significant.</t>
        </is>
      </c>
    </row>
    <row r="40">
      <c r="A40" t="n">
        <v>90</v>
      </c>
      <c r="B40" t="inlineStr">
        <is>
          <t>Phase 9</t>
        </is>
      </c>
      <c r="C40" t="inlineStr">
        <is>
          <t>Cost &amp; Performance</t>
        </is>
      </c>
      <c r="D40" t="inlineStr">
        <is>
          <t>Reduce unnecessary investigation loops</t>
        </is>
      </c>
      <c r="E40" t="inlineStr">
        <is>
          <t>In Progress</t>
        </is>
      </c>
      <c r="F40" t="inlineStr">
        <is>
          <t>High</t>
        </is>
      </c>
      <c r="I40" t="inlineStr">
        <is>
          <t>Part of dynamic investigation hardening.</t>
        </is>
      </c>
    </row>
    <row r="41">
      <c r="A41" t="n">
        <v>91</v>
      </c>
      <c r="B41" t="inlineStr">
        <is>
          <t>Phase 9</t>
        </is>
      </c>
      <c r="C41" t="inlineStr">
        <is>
          <t>Cost &amp; Performance</t>
        </is>
      </c>
      <c r="D41" t="inlineStr">
        <is>
          <t>Trim and deduplicate evidence before model calls</t>
        </is>
      </c>
      <c r="E41" t="inlineStr">
        <is>
          <t>In Progress</t>
        </is>
      </c>
      <c r="F41" t="inlineStr">
        <is>
          <t>High</t>
        </is>
      </c>
      <c r="I41" t="inlineStr">
        <is>
          <t>Further optimization needed.</t>
        </is>
      </c>
    </row>
    <row r="42">
      <c r="A42" t="n">
        <v>92</v>
      </c>
      <c r="B42" t="inlineStr">
        <is>
          <t>Phase 9</t>
        </is>
      </c>
      <c r="C42" t="inlineStr">
        <is>
          <t>Cost &amp; Performance</t>
        </is>
      </c>
      <c r="D42" t="inlineStr">
        <is>
          <t>Per-investigation token/cost budgets</t>
        </is>
      </c>
      <c r="E42" t="inlineStr">
        <is>
          <t>In Progress</t>
        </is>
      </c>
      <c r="F42" t="inlineStr">
        <is>
          <t>High</t>
        </is>
      </c>
      <c r="I42" t="inlineStr">
        <is>
          <t>Guardrails not finalized.</t>
        </is>
      </c>
    </row>
    <row r="43">
      <c r="A43" t="n">
        <v>93</v>
      </c>
      <c r="B43" t="inlineStr">
        <is>
          <t>Phase 9</t>
        </is>
      </c>
      <c r="C43" t="inlineStr">
        <is>
          <t>Cost &amp; Performance</t>
        </is>
      </c>
      <c r="D43" t="inlineStr">
        <is>
          <t>Review model selection per workflow stage</t>
        </is>
      </c>
      <c r="E43" t="inlineStr">
        <is>
          <t>In Progress</t>
        </is>
      </c>
      <c r="F43" t="inlineStr">
        <is>
          <t>Medium</t>
        </is>
      </c>
      <c r="I43" t="inlineStr">
        <is>
          <t>Provider-neutral adapter exists.</t>
        </is>
      </c>
    </row>
    <row r="44">
      <c r="A44" t="n">
        <v>109</v>
      </c>
      <c r="B44" t="inlineStr">
        <is>
          <t>Phase 12</t>
        </is>
      </c>
      <c r="C44" t="inlineStr">
        <is>
          <t>On-Premises Kubernetes</t>
        </is>
      </c>
      <c r="D44" t="inlineStr">
        <is>
          <t>Validate Fleet / Connect Gateway concept</t>
        </is>
      </c>
      <c r="E44" t="inlineStr">
        <is>
          <t>In Progress</t>
        </is>
      </c>
      <c r="F44" t="inlineStr">
        <is>
          <t>High</t>
        </is>
      </c>
      <c r="I44" t="inlineStr">
        <is>
          <t>Manual prototype/concept work exists.</t>
        </is>
      </c>
    </row>
    <row r="45">
      <c r="A45" t="n">
        <v>118</v>
      </c>
      <c r="B45" t="inlineStr">
        <is>
          <t>Phase 13</t>
        </is>
      </c>
      <c r="C45" t="inlineStr">
        <is>
          <t>Security &amp; Supply Chain</t>
        </is>
      </c>
      <c r="D45" t="inlineStr">
        <is>
          <t>Complete final IAM review</t>
        </is>
      </c>
      <c r="E45" t="inlineStr">
        <is>
          <t>In Progress</t>
        </is>
      </c>
      <c r="F45" t="inlineStr">
        <is>
          <t>Critical</t>
        </is>
      </c>
      <c r="I45" t="inlineStr">
        <is>
          <t>Cross-project/least-privilege review remains.</t>
        </is>
      </c>
    </row>
    <row r="46">
      <c r="A46" t="n">
        <v>119</v>
      </c>
      <c r="B46" t="inlineStr">
        <is>
          <t>Phase 13</t>
        </is>
      </c>
      <c r="C46" t="inlineStr">
        <is>
          <t>Security &amp; Supply Chain</t>
        </is>
      </c>
      <c r="D46" t="inlineStr">
        <is>
          <t>Kubernetes RBAC scoping</t>
        </is>
      </c>
      <c r="E46" t="inlineStr">
        <is>
          <t>In Progress</t>
        </is>
      </c>
      <c r="F46" t="inlineStr">
        <is>
          <t>Critical</t>
        </is>
      </c>
      <c r="I46" t="inlineStr">
        <is>
          <t>Needs production validation.</t>
        </is>
      </c>
    </row>
    <row r="47">
      <c r="A47" t="n">
        <v>120</v>
      </c>
      <c r="B47" t="inlineStr">
        <is>
          <t>Phase 13</t>
        </is>
      </c>
      <c r="C47" t="inlineStr">
        <is>
          <t>Security &amp; Supply Chain</t>
        </is>
      </c>
      <c r="D47" t="inlineStr">
        <is>
          <t>MCP authentication and authorization review</t>
        </is>
      </c>
      <c r="E47" t="inlineStr">
        <is>
          <t>In Progress</t>
        </is>
      </c>
      <c r="F47" t="inlineStr">
        <is>
          <t>High</t>
        </is>
      </c>
      <c r="I47" t="inlineStr">
        <is>
          <t>Needed before adding sources.</t>
        </is>
      </c>
    </row>
    <row r="48">
      <c r="A48" t="n">
        <v>121</v>
      </c>
      <c r="B48" t="inlineStr">
        <is>
          <t>Phase 13</t>
        </is>
      </c>
      <c r="C48" t="inlineStr">
        <is>
          <t>Security &amp; Supply Chain</t>
        </is>
      </c>
      <c r="D48" t="inlineStr">
        <is>
          <t>Agent Gateway security validation</t>
        </is>
      </c>
      <c r="E48" t="inlineStr">
        <is>
          <t>In Progress</t>
        </is>
      </c>
      <c r="F48" t="inlineStr">
        <is>
          <t>High</t>
        </is>
      </c>
      <c r="I48" t="inlineStr">
        <is>
          <t>Final production review. | UPDATE 2026-09-05: REQUEST_AUTHZ staleness/bypass test completed -- revoked the agent identity's roles/iap.egressor binding on an already-warm (&gt;5h) connection, retried immediately: denied within 2.8s, gateway log shows authzPolicyInfo.result=DENIED on the very first egress attempt, zero stale-enforcement window. Restored, confirmed access works again, confirmed zero Terraform drift. Verdict: PASS, no bypass, confirmed against official Google docs (authz extensions invoke live at the request-headers stage, no cache). See PHASE1_EVIDENCE_LOG.md.</t>
        </is>
      </c>
    </row>
    <row r="49">
      <c r="A49" t="n">
        <v>122</v>
      </c>
      <c r="B49" t="inlineStr">
        <is>
          <t>Phase 13</t>
        </is>
      </c>
      <c r="C49" t="inlineStr">
        <is>
          <t>Security &amp; Supply Chain</t>
        </is>
      </c>
      <c r="D49" t="inlineStr">
        <is>
          <t>Model Armor controlled validation</t>
        </is>
      </c>
      <c r="E49" t="inlineStr">
        <is>
          <t>In Progress</t>
        </is>
      </c>
      <c r="F49" t="inlineStr">
        <is>
          <t>High</t>
        </is>
      </c>
      <c r="I49" t="inlineStr">
        <is>
          <t>UPDATED 2026-08-27: root cause of 'not active in live path' now identified and filed as GitHub #203. agent/main.py:909 returns early unless MODEL_ARMOR_TEMPLATE is set, and iac/agent/agent_engine.tf:102-108 sets that env var ONLY when var.enable_agent_gateway is false; variables.tf:103-106 defaults it to true with no CI override. So app-level Model Armor (_sanitize) is unreachable in every real deploy -- input sanitization at main.py:1150 and the #32 output-verdict path at main.py:1253-1264 (content_flagged / requires_human_review) have never executed in production. The gating comment justifies this as redundant with a gateway CONTENT_AUTHZ Model Armor extension, but agent_gateway.tf:5-8 states no working Terraform path to wire that ever existed (real API rejection), and the only google_network_services_authz_extension on main is 'iap'. Blocked by #30 (endpoint hostname registration must be fixed before re-enabling). Verified against main @ 2384d21. | UPDATE 2026-09-05: see row 165 -- root cause found (wrong IAM service agent + stale warm container), Model Armor invocation now genuinely proven live; remaining RESPONSE_BODY gap confirmed as a documented Google platform limitation (Streamable HTTP/SSE MCP transport), accepted, not an open investigation.</t>
        </is>
      </c>
    </row>
    <row r="50">
      <c r="A50" t="n">
        <v>123</v>
      </c>
      <c r="B50" t="inlineStr">
        <is>
          <t>Phase 13</t>
        </is>
      </c>
      <c r="C50" t="inlineStr">
        <is>
          <t>Security &amp; Supply Chain</t>
        </is>
      </c>
      <c r="D50" t="inlineStr">
        <is>
          <t>Supply-chain and CI hardening</t>
        </is>
      </c>
      <c r="E50" t="inlineStr">
        <is>
          <t>In Progress</t>
        </is>
      </c>
      <c r="F50" t="inlineStr">
        <is>
          <t>Medium</t>
        </is>
      </c>
      <c r="I50" t="inlineStr">
        <is>
          <t>UPDATED 2026-08-27 (verified against main @ 2384d21, GitHub #79). PARTIALLY DONE: dorny/paths-filter is now pinned to a full commit SHA (.github/workflows/terraform-apply.yml:48, ceb8a2b8f2d89434be7ff52d3de7ec3738c5cc9d # v4.0.3). REMAINING, all confirmed still present: (1) every other action is pinned by tag not SHA -- actions/checkout@v4 (and @v6 in claude-review-response.yml:101), actions/setup-python@v5, google-github-actions/auth@v2, hashicorp/setup-terraform@v3, anthropics/claude-code-action@v1, across all 5 workflows; (2) no Python lock file anywhere -- agent/requirements.txt and mcp/requirements.txt still use &gt;= ranges; (3) mcp/Dockerfile has no USER directive (runs as root) and line 6 is still an unpinned 'RUN pip install uv'. Item 3 is the cheapest and highest-value of the three: a USER line plus a pinned uv version, no CI or dependency-resolution risk.</t>
        </is>
      </c>
    </row>
    <row r="51">
      <c r="A51" t="n">
        <v>154</v>
      </c>
      <c r="B51" t="inlineStr">
        <is>
          <t>Phase 6</t>
        </is>
      </c>
      <c r="C51" t="inlineStr">
        <is>
          <t>Observability &amp; Reliability</t>
        </is>
      </c>
      <c r="D51" t="inlineStr">
        <is>
          <t>Resolve Agent Platform Console Traces/Telemetry view not updating after OTel provider fix (#164)</t>
        </is>
      </c>
      <c r="E51" t="inlineStr">
        <is>
          <t>In Progress</t>
        </is>
      </c>
      <c r="F51" t="inlineStr">
        <is>
          <t>High</t>
        </is>
      </c>
      <c r="I51" t="inlineStr">
        <is>
          <t>FIXED (app side): our own OTel tracer-provider race. #130's fix (PR #136) made our tracer initialize early in set_up() and reliably win OpenTelemetry's one-time global-provider race (confirmed live: 11/11 workers), blocking Agent Engine's managed provider from installing. PR #165 (merge commit ee65b69, deployed 2026-08-16) stopped competing for that slot -- get_tracer() now builds its own local TracerProvider -- restoring the managed tracer path. Verified live: Google-owned Model Armor spans reappeared in Cloud Trace (never seen before this fix). WORKING: Cloud Trace collection itself. Live run run_20260816_083409_lpak produced 54 correctly-parented spans. STILL UNRESOLVED: the Agent Platform Console's Traces tab has not updated since 2026-08-13, and the Deployments list's Telemetry collection column still reads 'Learn more', not 'Enabled'. ROOT CAUSE UNCONFIRMED (Console side). Three config-level hypotheses tested live and ruled out 2026-08-14..16, each reverted after: sync vs stream invocation method; OTEL_INSTRUMENTATION_GENAI_CAPTURE_MESSAGE_CONTENT (boolean and correct-enum values); OTEL_SEMCONV_STABILITY_OPT_IN (never previously set). That was the last realistic officially-documented config lead. Google support case drafted, NOT yet submitted. GitHub #164 remains OPEN. Use Cloud Trace directly instead of the Console tab until it closes.</t>
        </is>
      </c>
    </row>
    <row r="52">
      <c r="A52" t="n">
        <v>159</v>
      </c>
      <c r="B52" t="inlineStr">
        <is>
          <t>Phase 6</t>
        </is>
      </c>
      <c r="C52" t="inlineStr">
        <is>
          <t>Observability &amp; Reliability</t>
        </is>
      </c>
      <c r="D52" t="inlineStr">
        <is>
          <t>Issue #139 fix rolled out to tool_executor.py/mcp_router.py/gcs_client.py</t>
        </is>
      </c>
      <c r="E52" t="inlineStr">
        <is>
          <t>In Progress</t>
        </is>
      </c>
      <c r="F52" t="inlineStr">
        <is>
          <t>P2-medium-fix</t>
        </is>
      </c>
      <c r="I52" t="inlineStr">
        <is>
          <t>Same _use_grpc=False fix as row 152's rca_builder.py resolution, applied to the 3 sibling call sites sharing the identical pattern (sre-agent-tool-failures, sre-agent-routing-failures, sre-agent-evidence-storage-failures). PR #175 merged and deployed (CI run 32653113035, smoke test passed). STILL NOT live-validated -- these 3 only write on a genuine tool/routing/evidence-storage failure, which has not occurred naturally yet (waiting, per 2026-08-23 decision). Completion requires: a real failure of each kind occurring live with the corresponding log entry confirmed written, no 403. RESOLVED 2026-08-24: the resource.type sub-item is done -- live-confirmed via `gcloud monitoring policies list --project=sreagent-t2-demo`, all 5 alerts (gke_mcp_failures, custom_mcp_failures, repeated_tool_failures, routing_failures, evidence_storage_failures) now filter on resource.type="cloud_run_revision" (PR #178, merged + deployed, CI run 32694669742). See row 163 for the alert fix's own tracking.</t>
        </is>
      </c>
    </row>
    <row r="53">
      <c r="A53" t="n">
        <v>23</v>
      </c>
      <c r="B53" t="inlineStr">
        <is>
          <t>Phase 2</t>
        </is>
      </c>
      <c r="C53" t="inlineStr">
        <is>
          <t>Agent Gateway &amp; Model Armor</t>
        </is>
      </c>
      <c r="D53" t="inlineStr">
        <is>
          <t>Test Model Armor with Agent Identity, IAP and Agent Gateway</t>
        </is>
      </c>
      <c r="E53" t="inlineStr">
        <is>
          <t>In Progress</t>
        </is>
      </c>
      <c r="F53" t="inlineStr">
        <is>
          <t>High</t>
        </is>
      </c>
      <c r="I53" t="inlineStr">
        <is>
          <t>CLOSED 2026-08-24 -- LIVE-VALIDATED. The 2026-08-08 attempt used the GLOBAL Model Armor hostname (modelarmor.googleapis.com) in AuthzExtension.service and got a hard 400 (unsupported Google API for AuthzExtension). This session tried the REGIONAL hostname (modelarmor.us-central1.rep.googleapis.com) instead -- terraform apply succeeded (2 resources created, 0 errors). Ran a real deployed investigation (make smoke) with the wiring live: 33 real gateway requests logged, ALL 33 authorized ALLOWED by the new Model Armor CONTENT_AUTHZ policy (sre-agent-model-armor-gateway-policy), 23 of them actually inspected/processed by Model Armor (processingEffect=CONTENT_MODIFIED, grpcStatus=OK). The 4 non-200 HTTP statuses seen (1x429, 2x404, 1x403) were all pre-existing, unrelated app-level responses (Vertex rate-limit, IAM credential lookups, cluster-config bucket) -- confirmed each still shows model_armor_result=ALLOWED, none were blocked by the new policy. Investigation completed successfully end to end (SMOKE TEST PASSED), no TLS/cert/gateway regression. Branch: test/model-armor-regional-content-authz-trial (committed, NOT merged to main yet -- see row 21/26/131 for what the full trial plan still requires before #30/#32 close: prompt-injection/jailbreak/sensitive-content test cases, full coverage table across all paths, latency measurement, Model Armor Cloud Logging detection-event confirmation). [Moved from Completed 2026-08-30: branch test/model-armor-regional-content-authz-trial still unmerged per this row's own original notes.]</t>
        </is>
      </c>
    </row>
    <row r="54">
      <c r="A54" t="n">
        <v>165</v>
      </c>
      <c r="B54" t="inlineStr">
        <is>
          <t>Phase 2</t>
        </is>
      </c>
      <c r="C54" t="inlineStr">
        <is>
          <t>Agent Gateway &amp; Model Armor</t>
        </is>
      </c>
      <c r="D54" t="inlineStr">
        <is>
          <t>Issue #203: MODEL_ARMOR_TEMPLATE gated on gateway-OFF, so app-level Model Armor is dead code in every real deploy</t>
        </is>
      </c>
      <c r="E54" t="inlineStr">
        <is>
          <t>Waiting on Google Support</t>
        </is>
      </c>
      <c r="F54" t="inlineStr">
        <is>
          <t>High</t>
        </is>
      </c>
      <c r="I54" t="inlineStr">
        <is>
          <t>UPDATED 2026-09-05. Investigated end to end on feat/phase-1-release. Fixed the original gating bug this row describes, plus corrected agent_gateway.tf's stale comment (the gateway-side CONTENT_AUTHZ extension DOES exist on the current provider, google-beta 7.43.0 -- re-verified). TWO REAL ROOT CAUSES found and fixed for why Model Armor was never actually invoked: (1) IAM was granted to the wrong Service Extensions service agent -- assumed to be service-{our project number}@gcp-sa-dep.iam.gserviceaccount.com, but direct REST evidence (querying the gateway resource's own agentGatewayCard.serviceExtensionsServiceAccount field) proved the real principal is a different, Google-internal tenant project. Fixed via Terraform referencing the gateway's own computed attribute. (2) A stale warm container (&gt;40min uptime) was bypassing gateway interception entirely for the custom MCP host. AFTER both fixes, Model Armor invocation is genuinely proven live (real ext_proc calls, grpcStatus=OK, serviceExtensionInfo populated) on both the custom MCP and GKE Remote MCP paths -- confirmed via gcloud logging read against networkservices.googleapis.com/Gateway. REMAINING GAP, now understood precisely: RESPONSE_BODY never fires as an ext_proc event for MCP tools/call responses on either path. Google's own Model Armor + Agent Gateway integration docs state 'Streamable HTTP/SSE for MCP' is allowed without sanitization -- our custom MCP's own code proves it uses exactly this transport (mcp/server.py:442, transport='streamable-http'). Two independent malicious payloads (prompt-injection, and Google's own guaranteed-detection Safe Browsing URL) both passed through unblocked on this path, tested on both the custom MCP AND Google's own GKE Remote MCP path (corroborating, not primary, evidence -- GKE Remote MCP's internal transport is not published by Google). DECISION (explicit, 2026-09-05): accepted as a proven, documented Google platform limitation -- not a code defect, not silently reclassified as a lesser Phase 1.1 item. Phase 1 OpenSpec acceptance criterion #203 recorded as PARTIAL -- ACCEPTED PLATFORM LIMITATION. Floor-setting mechanism (row 21/122) continues providing real inspect-only detection as a disclosed, compensating control -- NOT equivalent to CONTENT_AUTHZ blocking. NEXT: a Google Cloud support case will be filed as a non-blocking follow-up (confirmation + roadmap ask) -- Phase 1 completion does not wait for a response. Full evidence: PHASE1_EVIDENCE_LOG.md and GitHub issue #203 comment, feat/phase-1-release branch.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6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Perform rollback test</t>
        </is>
      </c>
      <c r="E2" t="inlineStr">
        <is>
          <t>Not Started</t>
        </is>
      </c>
      <c r="F2" t="inlineStr">
        <is>
          <t>High</t>
        </is>
      </c>
      <c r="I2" t="inlineStr">
        <is>
          <t>Required before production approval.</t>
        </is>
      </c>
    </row>
    <row r="3">
      <c r="A3" t="n">
        <v>7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Perform disaster-recovery drill</t>
        </is>
      </c>
      <c r="E3" t="inlineStr">
        <is>
          <t>Not Started</t>
        </is>
      </c>
      <c r="F3" t="inlineStr">
        <is>
          <t>Medium</t>
        </is>
      </c>
      <c r="I3" t="inlineStr">
        <is>
          <t>Production readiness validation.</t>
        </is>
      </c>
    </row>
    <row r="4">
      <c r="A4" t="n">
        <v>17</v>
      </c>
      <c r="B4" t="inlineStr">
        <is>
          <t>Phase 1</t>
        </is>
      </c>
      <c r="C4" t="inlineStr">
        <is>
          <t>Production Readiness</t>
        </is>
      </c>
      <c r="D4" t="inlineStr">
        <is>
          <t>Final production-readiness approval</t>
        </is>
      </c>
      <c r="E4" t="inlineStr">
        <is>
          <t>Not Started</t>
        </is>
      </c>
      <c r="F4" t="inlineStr">
        <is>
          <t>Critical</t>
        </is>
      </c>
      <c r="I4" t="inlineStr">
        <is>
          <t>Gated on launch blockers.</t>
        </is>
      </c>
    </row>
    <row r="5">
      <c r="A5" t="n">
        <v>24</v>
      </c>
      <c r="B5" t="inlineStr">
        <is>
          <t>Phase 2</t>
        </is>
      </c>
      <c r="C5" t="inlineStr">
        <is>
          <t>Agent Gateway &amp; Model Armor</t>
        </is>
      </c>
      <c r="D5" t="inlineStr">
        <is>
          <t>Define separate Model Armor policies for input/evidence/output</t>
        </is>
      </c>
      <c r="E5" t="inlineStr">
        <is>
          <t>Not Started</t>
        </is>
      </c>
      <c r="F5" t="inlineStr">
        <is>
          <t>Medium</t>
        </is>
      </c>
      <c r="I5" t="inlineStr">
        <is>
          <t>Pending architecture validation.</t>
        </is>
      </c>
    </row>
    <row r="6">
      <c r="A6" t="n">
        <v>25</v>
      </c>
      <c r="B6" t="inlineStr">
        <is>
          <t>Phase 2</t>
        </is>
      </c>
      <c r="C6" t="inlineStr">
        <is>
          <t>Agent Gateway &amp; Model Armor</t>
        </is>
      </c>
      <c r="D6" t="inlineStr">
        <is>
          <t>Test Kubernetes logs/events for false positives</t>
        </is>
      </c>
      <c r="E6" t="inlineStr">
        <is>
          <t>Not Started</t>
        </is>
      </c>
      <c r="F6" t="inlineStr">
        <is>
          <t>Medium</t>
        </is>
      </c>
      <c r="I6" t="inlineStr">
        <is>
          <t>Needed before enforcement.</t>
        </is>
      </c>
    </row>
    <row r="7">
      <c r="A7" t="n">
        <v>26</v>
      </c>
      <c r="B7" t="inlineStr">
        <is>
          <t>Phase 2</t>
        </is>
      </c>
      <c r="C7" t="inlineStr">
        <is>
          <t>Agent Gateway &amp; Model Armor</t>
        </is>
      </c>
      <c r="D7" t="inlineStr">
        <is>
          <t>Confirm Model Armor failure/fallback behaviour</t>
        </is>
      </c>
      <c r="E7" t="inlineStr">
        <is>
          <t>Not Started</t>
        </is>
      </c>
      <c r="F7" t="inlineStr">
        <is>
          <t>High</t>
        </is>
      </c>
      <c r="I7" t="inlineStr">
        <is>
          <t>Needs explicit failure-mode test.</t>
        </is>
      </c>
    </row>
    <row r="8">
      <c r="A8" t="n">
        <v>41</v>
      </c>
      <c r="B8" t="inlineStr">
        <is>
          <t>Phase 4</t>
        </is>
      </c>
      <c r="C8" t="inlineStr">
        <is>
          <t>Dynamic Investigation &amp; Confidence</t>
        </is>
      </c>
      <c r="D8" t="inlineStr">
        <is>
          <t>Confidence calibration testing</t>
        </is>
      </c>
      <c r="E8" t="inlineStr">
        <is>
          <t>Not Started</t>
        </is>
      </c>
      <c r="F8" t="inlineStr">
        <is>
          <t>Medium</t>
        </is>
      </c>
      <c r="I8" t="inlineStr">
        <is>
          <t>Compare confidence with actual RCA accuracy.</t>
        </is>
      </c>
    </row>
    <row r="9">
      <c r="A9" t="n">
        <v>55</v>
      </c>
      <c r="B9" t="inlineStr">
        <is>
          <t>Phase 5</t>
        </is>
      </c>
      <c r="C9" t="inlineStr">
        <is>
          <t>Testing &amp; Evaluation</t>
        </is>
      </c>
      <c r="D9" t="inlineStr">
        <is>
          <t>LLM-judge evaluation</t>
        </is>
      </c>
      <c r="E9" t="inlineStr">
        <is>
          <t>Not Started</t>
        </is>
      </c>
      <c r="F9" t="inlineStr">
        <is>
          <t>Low</t>
        </is>
      </c>
      <c r="I9" t="inlineStr">
        <is>
          <t>Secondary evaluation only.</t>
        </is>
      </c>
    </row>
    <row r="10">
      <c r="A10" t="n">
        <v>63</v>
      </c>
      <c r="B10" t="inlineStr">
        <is>
          <t>Phase 6</t>
        </is>
      </c>
      <c r="C10" t="inlineStr">
        <is>
          <t>Observability &amp; Reliability</t>
        </is>
      </c>
      <c r="D10" t="inlineStr">
        <is>
          <t>Operational dashboard</t>
        </is>
      </c>
      <c r="E10" t="inlineStr">
        <is>
          <t>Not Started</t>
        </is>
      </c>
      <c r="F10" t="inlineStr">
        <is>
          <t>Medium</t>
        </is>
      </c>
      <c r="I10" t="inlineStr">
        <is>
          <t>Needed for operations.</t>
        </is>
      </c>
    </row>
    <row r="11">
      <c r="A11" t="n">
        <v>64</v>
      </c>
      <c r="B11" t="inlineStr">
        <is>
          <t>Phase 6</t>
        </is>
      </c>
      <c r="C11" t="inlineStr">
        <is>
          <t>Observability &amp; Reliability</t>
        </is>
      </c>
      <c r="D11" t="inlineStr">
        <is>
          <t>Controlled delivery test for every alert</t>
        </is>
      </c>
      <c r="E11" t="inlineStr">
        <is>
          <t>Not Started</t>
        </is>
      </c>
      <c r="F11" t="inlineStr">
        <is>
          <t>High</t>
        </is>
      </c>
      <c r="I11" t="inlineStr">
        <is>
          <t>Configured alerts must be proven.</t>
        </is>
      </c>
    </row>
    <row r="12">
      <c r="A12" t="n">
        <v>76</v>
      </c>
      <c r="B12" t="inlineStr">
        <is>
          <t>Phase 7</t>
        </is>
      </c>
      <c r="C12" t="inlineStr">
        <is>
          <t>Multi-Cluster Scalability</t>
        </is>
      </c>
      <c r="D12" t="inlineStr">
        <is>
          <t>Concurrency/quota/failure-isolation testing</t>
        </is>
      </c>
      <c r="E12" t="inlineStr">
        <is>
          <t>Not Started</t>
        </is>
      </c>
      <c r="F12" t="inlineStr">
        <is>
          <t>High</t>
        </is>
      </c>
      <c r="I12" t="inlineStr">
        <is>
          <t>Scale testing remains.</t>
        </is>
      </c>
    </row>
    <row r="13">
      <c r="A13" t="n">
        <v>95</v>
      </c>
      <c r="B13" t="inlineStr">
        <is>
          <t>Phase 10</t>
        </is>
      </c>
      <c r="C13" t="inlineStr">
        <is>
          <t>PagerDuty Integration</t>
        </is>
      </c>
      <c r="D13" t="inlineStr">
        <is>
          <t>Design PagerDuty-triggered workflow</t>
        </is>
      </c>
      <c r="E13" t="inlineStr">
        <is>
          <t>Not Started</t>
        </is>
      </c>
      <c r="F13" t="inlineStr">
        <is>
          <t>Critical</t>
        </is>
      </c>
      <c r="I13" t="inlineStr">
        <is>
          <t>Required Phase 1 integration.</t>
        </is>
      </c>
    </row>
    <row r="14">
      <c r="A14" t="n">
        <v>96</v>
      </c>
      <c r="B14" t="inlineStr">
        <is>
          <t>Phase 10</t>
        </is>
      </c>
      <c r="C14" t="inlineStr">
        <is>
          <t>PagerDuty Integration</t>
        </is>
      </c>
      <c r="D14" t="inlineStr">
        <is>
          <t>Authenticated Cloud Run webhook receiver</t>
        </is>
      </c>
      <c r="E14" t="inlineStr">
        <is>
          <t>Not Started</t>
        </is>
      </c>
      <c r="F14" t="inlineStr">
        <is>
          <t>Critical</t>
        </is>
      </c>
      <c r="I14" t="inlineStr">
        <is>
          <t>No implementation yet.</t>
        </is>
      </c>
    </row>
    <row r="15">
      <c r="A15" t="n">
        <v>97</v>
      </c>
      <c r="B15" t="inlineStr">
        <is>
          <t>Phase 10</t>
        </is>
      </c>
      <c r="C15" t="inlineStr">
        <is>
          <t>PagerDuty Integration</t>
        </is>
      </c>
      <c r="D15" t="inlineStr">
        <is>
          <t>Pub/Sub buffering and investigation workers</t>
        </is>
      </c>
      <c r="E15" t="inlineStr">
        <is>
          <t>Not Started</t>
        </is>
      </c>
      <c r="F15" t="inlineStr">
        <is>
          <t>High</t>
        </is>
      </c>
      <c r="I15" t="inlineStr">
        <is>
          <t>Planned scalable path.</t>
        </is>
      </c>
    </row>
    <row r="16">
      <c r="A16" t="n">
        <v>98</v>
      </c>
      <c r="B16" t="inlineStr">
        <is>
          <t>Phase 10</t>
        </is>
      </c>
      <c r="C16" t="inlineStr">
        <is>
          <t>PagerDuty Integration</t>
        </is>
      </c>
      <c r="D16" t="inlineStr">
        <is>
          <t>Webhook verification and replay protection</t>
        </is>
      </c>
      <c r="E16" t="inlineStr">
        <is>
          <t>Not Started</t>
        </is>
      </c>
      <c r="F16" t="inlineStr">
        <is>
          <t>Critical</t>
        </is>
      </c>
      <c r="I16" t="inlineStr">
        <is>
          <t>Security requirement.</t>
        </is>
      </c>
    </row>
    <row r="17">
      <c r="A17" t="n">
        <v>99</v>
      </c>
      <c r="B17" t="inlineStr">
        <is>
          <t>Phase 10</t>
        </is>
      </c>
      <c r="C17" t="inlineStr">
        <is>
          <t>PagerDuty Integration</t>
        </is>
      </c>
      <c r="D17" t="inlineStr">
        <is>
          <t>Incident deduplication and idempotency</t>
        </is>
      </c>
      <c r="E17" t="inlineStr">
        <is>
          <t>Not Started</t>
        </is>
      </c>
      <c r="F17" t="inlineStr">
        <is>
          <t>Critical</t>
        </is>
      </c>
      <c r="I17" t="inlineStr">
        <is>
          <t>Production requirement.</t>
        </is>
      </c>
    </row>
    <row r="18">
      <c r="A18" t="n">
        <v>100</v>
      </c>
      <c r="B18" t="inlineStr">
        <is>
          <t>Phase 10</t>
        </is>
      </c>
      <c r="C18" t="inlineStr">
        <is>
          <t>PagerDuty Integration</t>
        </is>
      </c>
      <c r="D18" t="inlineStr">
        <is>
          <t>Trigger read-only investigation from incident</t>
        </is>
      </c>
      <c r="E18" t="inlineStr">
        <is>
          <t>Not Started</t>
        </is>
      </c>
      <c r="F18" t="inlineStr">
        <is>
          <t>Critical</t>
        </is>
      </c>
      <c r="I18" t="inlineStr">
        <is>
          <t>Core integration goal.</t>
        </is>
      </c>
    </row>
    <row r="19">
      <c r="A19" t="n">
        <v>101</v>
      </c>
      <c r="B19" t="inlineStr">
        <is>
          <t>Phase 10</t>
        </is>
      </c>
      <c r="C19" t="inlineStr">
        <is>
          <t>PagerDuty Integration</t>
        </is>
      </c>
      <c r="D19" t="inlineStr">
        <is>
          <t>Post RCA draft back to PagerDuty</t>
        </is>
      </c>
      <c r="E19" t="inlineStr">
        <is>
          <t>Not Started</t>
        </is>
      </c>
      <c r="F19" t="inlineStr">
        <is>
          <t>High</t>
        </is>
      </c>
      <c r="I19" t="inlineStr">
        <is>
          <t>Include evidence/confidence/unknowns/next checks.</t>
        </is>
      </c>
    </row>
    <row r="20">
      <c r="A20" t="n">
        <v>102</v>
      </c>
      <c r="B20" t="inlineStr">
        <is>
          <t>Phase 11</t>
        </is>
      </c>
      <c r="C20" t="inlineStr">
        <is>
          <t>Additional MCP Sources</t>
        </is>
      </c>
      <c r="D20" t="inlineStr">
        <is>
          <t>Prometheus integration</t>
        </is>
      </c>
      <c r="E20" t="inlineStr">
        <is>
          <t>Not Started</t>
        </is>
      </c>
      <c r="F20" t="inlineStr">
        <is>
          <t>Low</t>
        </is>
      </c>
      <c r="I20" t="inlineStr">
        <is>
          <t>Future phase.</t>
        </is>
      </c>
    </row>
    <row r="21">
      <c r="A21" t="n">
        <v>103</v>
      </c>
      <c r="B21" t="inlineStr">
        <is>
          <t>Phase 11</t>
        </is>
      </c>
      <c r="C21" t="inlineStr">
        <is>
          <t>Additional MCP Sources</t>
        </is>
      </c>
      <c r="D21" t="inlineStr">
        <is>
          <t>Grafana integration</t>
        </is>
      </c>
      <c r="E21" t="inlineStr">
        <is>
          <t>Not Started</t>
        </is>
      </c>
      <c r="F21" t="inlineStr">
        <is>
          <t>Low</t>
        </is>
      </c>
      <c r="I21" t="inlineStr">
        <is>
          <t>Future phase.</t>
        </is>
      </c>
    </row>
    <row r="22">
      <c r="A22" t="n">
        <v>104</v>
      </c>
      <c r="B22" t="inlineStr">
        <is>
          <t>Phase 11</t>
        </is>
      </c>
      <c r="C22" t="inlineStr">
        <is>
          <t>Additional MCP Sources</t>
        </is>
      </c>
      <c r="D22" t="inlineStr">
        <is>
          <t>Elastic / Elasticsearch integration</t>
        </is>
      </c>
      <c r="E22" t="inlineStr">
        <is>
          <t>Not Started</t>
        </is>
      </c>
      <c r="F22" t="inlineStr">
        <is>
          <t>Low</t>
        </is>
      </c>
      <c r="I22" t="inlineStr">
        <is>
          <t>Future phase.</t>
        </is>
      </c>
    </row>
    <row r="23">
      <c r="A23" t="n">
        <v>105</v>
      </c>
      <c r="B23" t="inlineStr">
        <is>
          <t>Phase 11</t>
        </is>
      </c>
      <c r="C23" t="inlineStr">
        <is>
          <t>Additional MCP Sources</t>
        </is>
      </c>
      <c r="D23" t="inlineStr">
        <is>
          <t>Cloud Logging integration</t>
        </is>
      </c>
      <c r="E23" t="inlineStr">
        <is>
          <t>Not Started</t>
        </is>
      </c>
      <c r="F23" t="inlineStr">
        <is>
          <t>Medium</t>
        </is>
      </c>
      <c r="I23" t="inlineStr">
        <is>
          <t>Future evidence source.</t>
        </is>
      </c>
    </row>
    <row r="24">
      <c r="A24" t="n">
        <v>106</v>
      </c>
      <c r="B24" t="inlineStr">
        <is>
          <t>Phase 11</t>
        </is>
      </c>
      <c r="C24" t="inlineStr">
        <is>
          <t>Additional MCP Sources</t>
        </is>
      </c>
      <c r="D24" t="inlineStr">
        <is>
          <t>Confluence/runbook integration</t>
        </is>
      </c>
      <c r="E24" t="inlineStr">
        <is>
          <t>Not Started</t>
        </is>
      </c>
      <c r="F24" t="inlineStr">
        <is>
          <t>Low</t>
        </is>
      </c>
      <c r="I24" t="inlineStr">
        <is>
          <t>Future phase.</t>
        </is>
      </c>
    </row>
    <row r="25">
      <c r="A25" t="n">
        <v>107</v>
      </c>
      <c r="B25" t="inlineStr">
        <is>
          <t>Phase 11</t>
        </is>
      </c>
      <c r="C25" t="inlineStr">
        <is>
          <t>Additional MCP Sources</t>
        </is>
      </c>
      <c r="D25" t="inlineStr">
        <is>
          <t>GitHub integration</t>
        </is>
      </c>
      <c r="E25" t="inlineStr">
        <is>
          <t>Not Started</t>
        </is>
      </c>
      <c r="F25" t="inlineStr">
        <is>
          <t>Low</t>
        </is>
      </c>
      <c r="I25" t="inlineStr">
        <is>
          <t>Future phase.</t>
        </is>
      </c>
    </row>
    <row r="26">
      <c r="A26" t="n">
        <v>108</v>
      </c>
      <c r="B26" t="inlineStr">
        <is>
          <t>Phase 11</t>
        </is>
      </c>
      <c r="C26" t="inlineStr">
        <is>
          <t>Additional MCP Sources</t>
        </is>
      </c>
      <c r="D26" t="inlineStr">
        <is>
          <t>Normalized traceable evidence for every source</t>
        </is>
      </c>
      <c r="E26" t="inlineStr">
        <is>
          <t>Not Started</t>
        </is>
      </c>
      <c r="F26" t="inlineStr">
        <is>
          <t>High</t>
        </is>
      </c>
      <c r="I26" t="inlineStr">
        <is>
          <t>Depends on MCP abstraction.</t>
        </is>
      </c>
    </row>
    <row r="27">
      <c r="A27" t="n">
        <v>110</v>
      </c>
      <c r="B27" t="inlineStr">
        <is>
          <t>Phase 12</t>
        </is>
      </c>
      <c r="C27" t="inlineStr">
        <is>
          <t>On-Premises Kubernetes</t>
        </is>
      </c>
      <c r="D27" t="inlineStr">
        <is>
          <t>Custom MCP → Connect Gateway production path</t>
        </is>
      </c>
      <c r="E27" t="inlineStr">
        <is>
          <t>Not Started</t>
        </is>
      </c>
      <c r="F27" t="inlineStr">
        <is>
          <t>Critical</t>
        </is>
      </c>
      <c r="I27" t="inlineStr">
        <is>
          <t>Production path not proven.</t>
        </is>
      </c>
    </row>
    <row r="28">
      <c r="A28" t="n">
        <v>111</v>
      </c>
      <c r="B28" t="inlineStr">
        <is>
          <t>Phase 12</t>
        </is>
      </c>
      <c r="C28" t="inlineStr">
        <is>
          <t>On-Premises Kubernetes</t>
        </is>
      </c>
      <c r="D28" t="inlineStr">
        <is>
          <t>Validate supported agent-authentication model</t>
        </is>
      </c>
      <c r="E28" t="inlineStr">
        <is>
          <t>Not Started</t>
        </is>
      </c>
      <c r="F28" t="inlineStr">
        <is>
          <t>High</t>
        </is>
      </c>
      <c r="I28" t="inlineStr">
        <is>
          <t>Need short-lived supported auth.</t>
        </is>
      </c>
    </row>
    <row r="29">
      <c r="A29" t="n">
        <v>112</v>
      </c>
      <c r="B29" t="inlineStr">
        <is>
          <t>Phase 12</t>
        </is>
      </c>
      <c r="C29" t="inlineStr">
        <is>
          <t>On-Premises Kubernetes</t>
        </is>
      </c>
      <c r="D29" t="inlineStr">
        <is>
          <t>Validate IAM and Kubernetes RBAC</t>
        </is>
      </c>
      <c r="E29" t="inlineStr">
        <is>
          <t>Not Started</t>
        </is>
      </c>
      <c r="F29" t="inlineStr">
        <is>
          <t>Critical</t>
        </is>
      </c>
      <c r="I29" t="inlineStr">
        <is>
          <t>Production security requirement.</t>
        </is>
      </c>
    </row>
    <row r="30">
      <c r="A30" t="n">
        <v>113</v>
      </c>
      <c r="B30" t="inlineStr">
        <is>
          <t>Phase 12</t>
        </is>
      </c>
      <c r="C30" t="inlineStr">
        <is>
          <t>On-Premises Kubernetes</t>
        </is>
      </c>
      <c r="D30" t="inlineStr">
        <is>
          <t>Test read-only access to real on-prem cluster</t>
        </is>
      </c>
      <c r="E30" t="inlineStr">
        <is>
          <t>Not Started</t>
        </is>
      </c>
      <c r="F30" t="inlineStr">
        <is>
          <t>High</t>
        </is>
      </c>
      <c r="I30" t="inlineStr">
        <is>
          <t>Prototype is not production validation.</t>
        </is>
      </c>
    </row>
    <row r="31">
      <c r="A31" t="n">
        <v>114</v>
      </c>
      <c r="B31" t="inlineStr">
        <is>
          <t>Phase 12</t>
        </is>
      </c>
      <c r="C31" t="inlineStr">
        <is>
          <t>On-Premises Kubernetes</t>
        </is>
      </c>
      <c r="D31" t="inlineStr">
        <is>
          <t>Review audit logs, latency, quotas and isolation</t>
        </is>
      </c>
      <c r="E31" t="inlineStr">
        <is>
          <t>Not Started</t>
        </is>
      </c>
      <c r="F31" t="inlineStr">
        <is>
          <t>High</t>
        </is>
      </c>
      <c r="I31" t="inlineStr">
        <is>
          <t>Reliability requirement.</t>
        </is>
      </c>
    </row>
    <row r="32">
      <c r="A32" t="n">
        <v>115</v>
      </c>
      <c r="B32" t="inlineStr">
        <is>
          <t>Phase 12</t>
        </is>
      </c>
      <c r="C32" t="inlineStr">
        <is>
          <t>On-Premises Kubernetes</t>
        </is>
      </c>
      <c r="D32" t="inlineStr">
        <is>
          <t>Document onboarding/removal runbook</t>
        </is>
      </c>
      <c r="E32" t="inlineStr">
        <is>
          <t>Not Started</t>
        </is>
      </c>
      <c r="F32" t="inlineStr">
        <is>
          <t>Medium</t>
        </is>
      </c>
      <c r="I32" t="inlineStr">
        <is>
          <t>After path validation.</t>
        </is>
      </c>
    </row>
    <row r="33">
      <c r="A33" t="n">
        <v>128</v>
      </c>
      <c r="B33" t="inlineStr">
        <is>
          <t>Final</t>
        </is>
      </c>
      <c r="C33" t="inlineStr">
        <is>
          <t>Final Production Approval</t>
        </is>
      </c>
      <c r="D33" t="inlineStr">
        <is>
          <t>Final architecture review</t>
        </is>
      </c>
      <c r="E33" t="inlineStr">
        <is>
          <t>Not Started</t>
        </is>
      </c>
      <c r="F33" t="inlineStr">
        <is>
          <t>Critical</t>
        </is>
      </c>
      <c r="I33" t="inlineStr">
        <is>
          <t>Production gate.</t>
        </is>
      </c>
    </row>
    <row r="34">
      <c r="A34" t="n">
        <v>129</v>
      </c>
      <c r="B34" t="inlineStr">
        <is>
          <t>Final</t>
        </is>
      </c>
      <c r="C34" t="inlineStr">
        <is>
          <t>Final Production Approval</t>
        </is>
      </c>
      <c r="D34" t="inlineStr">
        <is>
          <t>Final security review</t>
        </is>
      </c>
      <c r="E34" t="inlineStr">
        <is>
          <t>Not Started</t>
        </is>
      </c>
      <c r="F34" t="inlineStr">
        <is>
          <t>Critical</t>
        </is>
      </c>
      <c r="I34" t="inlineStr">
        <is>
          <t>Production gate.</t>
        </is>
      </c>
    </row>
    <row r="35">
      <c r="A35" t="n">
        <v>130</v>
      </c>
      <c r="B35" t="inlineStr">
        <is>
          <t>Final</t>
        </is>
      </c>
      <c r="C35" t="inlineStr">
        <is>
          <t>Final Production Approval</t>
        </is>
      </c>
      <c r="D35" t="inlineStr">
        <is>
          <t>Final IAM review</t>
        </is>
      </c>
      <c r="E35" t="inlineStr">
        <is>
          <t>Not Started</t>
        </is>
      </c>
      <c r="F35" t="inlineStr">
        <is>
          <t>Critical</t>
        </is>
      </c>
      <c r="I35" t="inlineStr">
        <is>
          <t>Production gate.</t>
        </is>
      </c>
    </row>
    <row r="36">
      <c r="A36" t="n">
        <v>131</v>
      </c>
      <c r="B36" t="inlineStr">
        <is>
          <t>Final</t>
        </is>
      </c>
      <c r="C36" t="inlineStr">
        <is>
          <t>Final Production Approval</t>
        </is>
      </c>
      <c r="D36" t="inlineStr">
        <is>
          <t>Final Model Armor report/decision</t>
        </is>
      </c>
      <c r="E36" t="inlineStr">
        <is>
          <t>Not Started</t>
        </is>
      </c>
      <c r="F36" t="inlineStr">
        <is>
          <t>High</t>
        </is>
      </c>
      <c r="I36" t="inlineStr">
        <is>
          <t>Production gate.</t>
        </is>
      </c>
    </row>
    <row r="37">
      <c r="A37" t="n">
        <v>132</v>
      </c>
      <c r="B37" t="inlineStr">
        <is>
          <t>Final</t>
        </is>
      </c>
      <c r="C37" t="inlineStr">
        <is>
          <t>Final Production Approval</t>
        </is>
      </c>
      <c r="D37" t="inlineStr">
        <is>
          <t>Final RCA accuracy and confidence evaluation</t>
        </is>
      </c>
      <c r="E37" t="inlineStr">
        <is>
          <t>Not Started</t>
        </is>
      </c>
      <c r="F37" t="inlineStr">
        <is>
          <t>Critical</t>
        </is>
      </c>
      <c r="I37" t="inlineStr">
        <is>
          <t>Production gate.</t>
        </is>
      </c>
    </row>
    <row r="38">
      <c r="A38" t="n">
        <v>133</v>
      </c>
      <c r="B38" t="inlineStr">
        <is>
          <t>Final</t>
        </is>
      </c>
      <c r="C38" t="inlineStr">
        <is>
          <t>Final Production Approval</t>
        </is>
      </c>
      <c r="D38" t="inlineStr">
        <is>
          <t>Monitoring and alert-delivery validation</t>
        </is>
      </c>
      <c r="E38" t="inlineStr">
        <is>
          <t>Not Started</t>
        </is>
      </c>
      <c r="F38" t="inlineStr">
        <is>
          <t>Critical</t>
        </is>
      </c>
      <c r="I38" t="inlineStr">
        <is>
          <t>Production gate.</t>
        </is>
      </c>
    </row>
    <row r="39">
      <c r="A39" t="n">
        <v>134</v>
      </c>
      <c r="B39" t="inlineStr">
        <is>
          <t>Final</t>
        </is>
      </c>
      <c r="C39" t="inlineStr">
        <is>
          <t>Final Production Approval</t>
        </is>
      </c>
      <c r="D39" t="inlineStr">
        <is>
          <t>Rollback and recovery testing</t>
        </is>
      </c>
      <c r="E39" t="inlineStr">
        <is>
          <t>Not Started</t>
        </is>
      </c>
      <c r="F39" t="inlineStr">
        <is>
          <t>Critical</t>
        </is>
      </c>
      <c r="I39" t="inlineStr">
        <is>
          <t>Production gate.</t>
        </is>
      </c>
    </row>
    <row r="40">
      <c r="A40" t="n">
        <v>135</v>
      </c>
      <c r="B40" t="inlineStr">
        <is>
          <t>Final</t>
        </is>
      </c>
      <c r="C40" t="inlineStr">
        <is>
          <t>Final Production Approval</t>
        </is>
      </c>
      <c r="D40" t="inlineStr">
        <is>
          <t>Document known limitations and accepted risks</t>
        </is>
      </c>
      <c r="E40" t="inlineStr">
        <is>
          <t>Not Started</t>
        </is>
      </c>
      <c r="F40" t="inlineStr">
        <is>
          <t>High</t>
        </is>
      </c>
      <c r="I40" t="inlineStr">
        <is>
          <t>Production gate.</t>
        </is>
      </c>
    </row>
    <row r="41">
      <c r="A41" t="n">
        <v>136</v>
      </c>
      <c r="B41" t="inlineStr">
        <is>
          <t>Final</t>
        </is>
      </c>
      <c r="C41" t="inlineStr">
        <is>
          <t>Final Production Approval</t>
        </is>
      </c>
      <c r="D41" t="inlineStr">
        <is>
          <t>Human approval before production rollout</t>
        </is>
      </c>
      <c r="E41" t="inlineStr">
        <is>
          <t>Not Started</t>
        </is>
      </c>
      <c r="F41" t="inlineStr">
        <is>
          <t>Critical</t>
        </is>
      </c>
      <c r="I41" t="inlineStr">
        <is>
          <t>Required by design.</t>
        </is>
      </c>
    </row>
    <row r="42">
      <c r="A42" t="n">
        <v>158</v>
      </c>
      <c r="B42" t="inlineStr">
        <is>
          <t>Phase 3</t>
        </is>
      </c>
      <c r="C42" t="inlineStr">
        <is>
          <t>RCA Output &amp; Evidence</t>
        </is>
      </c>
      <c r="D42" t="inlineStr">
        <is>
          <t>Container-aware evidence collection and attribution (multi-container/sidecar pods)</t>
        </is>
      </c>
      <c r="E42" t="inlineStr">
        <is>
          <t>Not Started</t>
        </is>
      </c>
      <c r="F42" t="inlineStr">
        <is>
          <t>Critical</t>
        </is>
      </c>
      <c r="I42" t="inlineStr">
        <is>
          <t>Confirmed 2026-08-21/22: ALL workloads on the target GKE Autopilot clusters run an Istio sidecar -- this affects every investigation, not an edge case. Confirmed gap, 3 layers, read directly from code: (1) agent/mcp_client.py:306-317's GKE Remote MCP payload builder for get_k8s_logs never forwards a container argument even though the API supports one (custom MCP's mcp/tools/logs.py already does this correctly); (2) agent/nodes/evidence_extractor.py's evidence schema has no container field and never surfaces describe_pod_detail's own containers/container_statuses into the evidence the LLM reasons over; (3) agent/prompts.py's tool-selection prompt has no language teaching the model that a pod can have multiple containers, and mcp_router.py's auto-fill only ever sets namespace/pod. Scope, deliberately narrow -- data plumbing and prompt fix, not a redesign: forward the container arg on the GKE path, surface containers/container_statuses into key_facts, add container-selection guidance to the tool-selection prompt, add a container field to the evidence schema. Required before Milestone 1 (GKE pilot) per management direction 2026-08-22 -- every pilot target has this. See EXT-003 (External Dependencies worksheet) for the corresponding real work-cluster observation.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35</v>
      </c>
      <c r="B2" t="inlineStr">
        <is>
          <t>Phase 3</t>
        </is>
      </c>
      <c r="C2" t="inlineStr">
        <is>
          <t>RCA Output &amp; Evidence</t>
        </is>
      </c>
      <c r="D2" t="inlineStr">
        <is>
          <t>Service/user-impact detection</t>
        </is>
      </c>
      <c r="E2" t="inlineStr">
        <is>
          <t>Blocked</t>
        </is>
      </c>
      <c r="F2" t="inlineStr">
        <is>
          <t>Critical</t>
        </is>
      </c>
      <c r="I2" t="inlineStr">
        <is>
          <t>Impact is not reliably derived yet.</t>
        </is>
      </c>
    </row>
    <row r="3">
      <c r="A3" t="n">
        <v>51</v>
      </c>
      <c r="B3" t="inlineStr">
        <is>
          <t>Phase 5</t>
        </is>
      </c>
      <c r="C3" t="inlineStr">
        <is>
          <t>Testing &amp; Evaluation</t>
        </is>
      </c>
      <c r="D3" t="inlineStr">
        <is>
          <t>Full compiled graph E2E test</t>
        </is>
      </c>
      <c r="E3" t="inlineStr">
        <is>
          <t>Blocked</t>
        </is>
      </c>
      <c r="F3" t="inlineStr">
        <is>
          <t>Critical</t>
        </is>
      </c>
      <c r="I3" t="inlineStr">
        <is>
          <t>Required production validation gap.</t>
        </is>
      </c>
    </row>
    <row r="4">
      <c r="A4" t="n">
        <v>52</v>
      </c>
      <c r="B4" t="inlineStr">
        <is>
          <t>Phase 5</t>
        </is>
      </c>
      <c r="C4" t="inlineStr">
        <is>
          <t>Testing &amp; Evaluation</t>
        </is>
      </c>
      <c r="D4" t="inlineStr">
        <is>
          <t>Entrypoint → Agent → MCP → Evidence → Scorer E2E evaluation</t>
        </is>
      </c>
      <c r="E4" t="inlineStr">
        <is>
          <t>Blocked</t>
        </is>
      </c>
      <c r="F4" t="inlineStr">
        <is>
          <t>Critical</t>
        </is>
      </c>
      <c r="I4" t="inlineStr">
        <is>
          <t>Must prove full workflow.</t>
        </is>
      </c>
    </row>
    <row r="5">
      <c r="A5" t="n">
        <v>86</v>
      </c>
      <c r="B5" t="inlineStr">
        <is>
          <t>Phase 8</t>
        </is>
      </c>
      <c r="C5" t="inlineStr">
        <is>
          <t>MCP Tool Architecture</t>
        </is>
      </c>
      <c r="D5" t="inlineStr">
        <is>
          <t>Deploy Custom Kubernetes MCP in cloud</t>
        </is>
      </c>
      <c r="E5" t="inlineStr">
        <is>
          <t>Blocked</t>
        </is>
      </c>
      <c r="F5" t="inlineStr">
        <is>
          <t>Critical</t>
        </is>
      </c>
      <c r="I5" t="inlineStr">
        <is>
          <t>Required for non-GKE path.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57</v>
      </c>
      <c r="B2" t="inlineStr">
        <is>
          <t>Phase 5</t>
        </is>
      </c>
      <c r="C2" t="inlineStr">
        <is>
          <t>Testing &amp; Evaluation</t>
        </is>
      </c>
      <c r="D2" t="inlineStr">
        <is>
          <t>Structured engineer-feedback process</t>
        </is>
      </c>
      <c r="E2" t="inlineStr">
        <is>
          <t>Deferred</t>
        </is>
      </c>
      <c r="F2" t="inlineStr">
        <is>
          <t>Low</t>
        </is>
      </c>
      <c r="I2" t="inlineStr">
        <is>
          <t>Phase 2 enhancement.</t>
        </is>
      </c>
    </row>
    <row r="3">
      <c r="A3" t="n">
        <v>94</v>
      </c>
      <c r="B3" t="inlineStr">
        <is>
          <t>Phase 9</t>
        </is>
      </c>
      <c r="C3" t="inlineStr">
        <is>
          <t>Cost &amp; Performance</t>
        </is>
      </c>
      <c r="D3" t="inlineStr">
        <is>
          <t>Advanced caching and dynamic pricing</t>
        </is>
      </c>
      <c r="E3" t="inlineStr">
        <is>
          <t>Deferred</t>
        </is>
      </c>
      <c r="F3" t="inlineStr">
        <is>
          <t>Low</t>
        </is>
      </c>
      <c r="I3" t="inlineStr">
        <is>
          <t>Phase 2 optimization.</t>
        </is>
      </c>
    </row>
    <row r="4">
      <c r="A4" t="n">
        <v>124</v>
      </c>
      <c r="B4" t="inlineStr">
        <is>
          <t>Phase 13</t>
        </is>
      </c>
      <c r="C4" t="inlineStr">
        <is>
          <t>Security &amp; Supply Chain</t>
        </is>
      </c>
      <c r="D4" t="inlineStr">
        <is>
          <t>VPC-SC / additional network hardening</t>
        </is>
      </c>
      <c r="E4" t="inlineStr">
        <is>
          <t>Deferred</t>
        </is>
      </c>
      <c r="F4" t="inlineStr">
        <is>
          <t>Low</t>
        </is>
      </c>
      <c r="I4" t="inlineStr">
        <is>
          <t>Phase 2 unless required earlier.</t>
        </is>
      </c>
    </row>
    <row r="5">
      <c r="A5" t="n">
        <v>125</v>
      </c>
      <c r="B5" t="inlineStr">
        <is>
          <t>Phase 14</t>
        </is>
      </c>
      <c r="C5" t="inlineStr">
        <is>
          <t>ADK Migration Assessment</t>
        </is>
      </c>
      <c r="D5" t="inlineStr">
        <is>
          <t>ADK architecture comparison</t>
        </is>
      </c>
      <c r="E5" t="inlineStr">
        <is>
          <t>Deferred</t>
        </is>
      </c>
      <c r="F5" t="inlineStr">
        <is>
          <t>Low</t>
        </is>
      </c>
      <c r="I5" t="inlineStr">
        <is>
          <t>Do not disrupt working LangGraph path during Phase 1.</t>
        </is>
      </c>
    </row>
    <row r="6">
      <c r="A6" t="n">
        <v>126</v>
      </c>
      <c r="B6" t="inlineStr">
        <is>
          <t>Phase 14</t>
        </is>
      </c>
      <c r="C6" t="inlineStr">
        <is>
          <t>ADK Migration Assessment</t>
        </is>
      </c>
      <c r="D6" t="inlineStr">
        <is>
          <t>ADK proof of concept and parity evaluation</t>
        </is>
      </c>
      <c r="E6" t="inlineStr">
        <is>
          <t>Deferred</t>
        </is>
      </c>
      <c r="F6" t="inlineStr">
        <is>
          <t>Low</t>
        </is>
      </c>
      <c r="I6" t="inlineStr">
        <is>
          <t>Phase 2.</t>
        </is>
      </c>
    </row>
    <row r="7">
      <c r="A7" t="n">
        <v>127</v>
      </c>
      <c r="B7" t="inlineStr">
        <is>
          <t>Phase 14</t>
        </is>
      </c>
      <c r="C7" t="inlineStr">
        <is>
          <t>ADK Migration Assessment</t>
        </is>
      </c>
      <c r="D7" t="inlineStr">
        <is>
          <t>Migration decision</t>
        </is>
      </c>
      <c r="E7" t="inlineStr">
        <is>
          <t>Deferred</t>
        </is>
      </c>
      <c r="F7" t="inlineStr">
        <is>
          <t>Low</t>
        </is>
      </c>
      <c r="I7" t="inlineStr">
        <is>
          <t>After MVP is stable.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2026-09-05T12:41:52Z</dcterms:modified>
</cp:coreProperties>
</file>
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ject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Reference" sheetId="4" state="visible" r:id="rId4"/>
    <sheet xmlns:r="http://schemas.openxmlformats.org/officeDocument/2006/relationships" name="External Dependencies" sheetId="5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color rgb="FF1F4E78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color rgb="FF1F4E78"/>
      </font>
      <fill>
        <patternFill patternType="solid">
          <bgColor rgb="FFD9EA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Type="http://schemas.openxmlformats.org/officeDocument/2006/relationships/worksheet" Target="/xl/worksheets/sheet5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Status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cat>
            <strRef>
              <f>'Dashboard'!$A$5:$A$9</f>
              <strCache>
                <ptCount val="0"/>
              </strCache>
            </strRef>
          </cat>
          <val>
            <numRef>
              <f>'Dashboard'!$B$5:$B$9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14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rojectTrackerTable" displayName="ProjectTrackerTable" ref="A1:I137" headerRowCount="1" totalsRowCount="0" totalsRowShown="0">
  <tableColumns count="9">
    <tableColumn id="1" name="ID"/>
    <tableColumn id="2" name="Phase"/>
    <tableColumn id="3" name="Workstream"/>
    <tableColumn id="4" name="Task"/>
    <tableColumn id="5" name="Status"/>
    <tableColumn id="6" name="Priority"/>
    <tableColumn id="7" name="Owner"/>
    <tableColumn id="8" name="Target Dat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aseSummaryTable" displayName="PhaseSummaryTable" ref="A1:G17" headerRowCount="1" totalsRowCount="0" totalsRowShown="0">
  <tableColumns count="7">
    <tableColumn id="1" name="Phase"/>
    <tableColumn id="2" name="Workstream"/>
    <tableColumn id="3" name="Total"/>
    <tableColumn id="4" name="Completed"/>
    <tableColumn id="5" name="In Progress"/>
    <tableColumn id="6" name="Blocked"/>
    <tableColumn id="7" name="Not Star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48" customWidth="1" min="4" max="4"/>
    <col width="16" customWidth="1" min="5" max="5"/>
    <col width="12" customWidth="1" min="6" max="6"/>
    <col width="18" customWidth="1" min="7" max="7"/>
    <col width="14" customWidth="1" min="8" max="8"/>
    <col width="44" customWidth="1" min="9" max="9"/>
  </cols>
  <sheetData>
    <row r="1">
      <c r="A1" s="6" t="inlineStr">
        <is>
          <t>ID</t>
        </is>
      </c>
      <c r="B1" s="6" t="inlineStr">
        <is>
          <t>Phase</t>
        </is>
      </c>
      <c r="C1" s="6" t="inlineStr">
        <is>
          <t>Workstream</t>
        </is>
      </c>
      <c r="D1" s="6" t="inlineStr">
        <is>
          <t>Task</t>
        </is>
      </c>
      <c r="E1" s="6" t="inlineStr">
        <is>
          <t>Status</t>
        </is>
      </c>
      <c r="F1" s="6" t="inlineStr">
        <is>
          <t>Priority</t>
        </is>
      </c>
      <c r="G1" s="6" t="inlineStr">
        <is>
          <t>Owner</t>
        </is>
      </c>
      <c r="H1" s="6" t="inlineStr">
        <is>
          <t>Target Date</t>
        </is>
      </c>
      <c r="I1" s="6" t="inlineStr">
        <is>
          <t>Notes</t>
        </is>
      </c>
    </row>
    <row r="2">
      <c r="A2" s="12" t="n">
        <v>1</v>
      </c>
      <c r="B2" s="12" t="inlineStr">
        <is>
          <t>Phase 0</t>
        </is>
      </c>
      <c r="C2" s="12" t="inlineStr">
        <is>
          <t>Protect Current Working Setup</t>
        </is>
      </c>
      <c r="D2" s="12" t="inlineStr">
        <is>
          <t>Capture and document the known-good deployment</t>
        </is>
      </c>
      <c r="E2" s="12" t="inlineStr">
        <is>
          <t>Completed</t>
        </is>
      </c>
      <c r="F2" s="12" t="inlineStr">
        <is>
          <t>High</t>
        </is>
      </c>
      <c r="G2" s="12" t="str"/>
      <c r="H2" s="30" t="n"/>
      <c r="I2" s="12" t="inlineStr">
        <is>
          <t>Known-good deployment documented.</t>
        </is>
      </c>
    </row>
    <row r="3">
      <c r="A3" s="12" t="n">
        <v>2</v>
      </c>
      <c r="B3" s="12" t="inlineStr">
        <is>
          <t>Phase 0</t>
        </is>
      </c>
      <c r="C3" s="12" t="inlineStr">
        <is>
          <t>Protect Current Working Setup</t>
        </is>
      </c>
      <c r="D3" s="12" t="inlineStr">
        <is>
          <t>Tag/version known-good deployment state</t>
        </is>
      </c>
      <c r="E3" s="12" t="inlineStr">
        <is>
          <t>In Progress</t>
        </is>
      </c>
      <c r="F3" s="12" t="inlineStr">
        <is>
          <t>Medium</t>
        </is>
      </c>
      <c r="G3" s="12" t="str"/>
      <c r="H3" s="30" t="n"/>
      <c r="I3" s="12" t="inlineStr">
        <is>
          <t>Keep an explicit rollback reference/tag.</t>
        </is>
      </c>
    </row>
    <row r="4">
      <c r="A4" s="12" t="n">
        <v>3</v>
      </c>
      <c r="B4" s="12" t="inlineStr">
        <is>
          <t>Phase 0</t>
        </is>
      </c>
      <c r="C4" s="12" t="inlineStr">
        <is>
          <t>Protect Current Working Setup</t>
        </is>
      </c>
      <c r="D4" s="12" t="inlineStr">
        <is>
          <t>Back up/reference Agent Engine, Agent Identity, Agent Gateway and MCP configurations</t>
        </is>
      </c>
      <c r="E4" s="12" t="inlineStr">
        <is>
          <t>Completed</t>
        </is>
      </c>
      <c r="F4" s="12" t="inlineStr">
        <is>
          <t>High</t>
        </is>
      </c>
      <c r="G4" s="12" t="str"/>
      <c r="H4" s="30" t="n"/>
      <c r="I4" s="12" t="inlineStr">
        <is>
          <t>Configuration and architecture references exist.</t>
        </is>
      </c>
    </row>
    <row r="5">
      <c r="A5" s="12" t="n">
        <v>4</v>
      </c>
      <c r="B5" s="12" t="inlineStr">
        <is>
          <t>Phase 0</t>
        </is>
      </c>
      <c r="C5" s="12" t="inlineStr">
        <is>
          <t>Protect Current Working Setup</t>
        </is>
      </c>
      <c r="D5" s="12" t="inlineStr">
        <is>
          <t>Capture successful end-to-end investigation with logs and traces</t>
        </is>
      </c>
      <c r="E5" s="12" t="inlineStr">
        <is>
          <t>In Progress</t>
        </is>
      </c>
      <c r="F5" s="12" t="inlineStr">
        <is>
          <t>High</t>
        </is>
      </c>
      <c r="G5" s="12" t="str"/>
      <c r="H5" s="30" t="n"/>
      <c r="I5" s="12" t="inlineStr">
        <is>
          <t>Corrected 2026-08-13: was marked Completed, but reliable full-path trace evidence does not currently exist. A real deployed investigation (run_20260813_045745_ainm) produced no exported Cloud Trace span at all; this project's entire Cloud Trace history has only 2 old traces (2026-08-09), one span each. Structured logs + GCS evidence capture ARE working (verified repeatedly this session), but "logs and traces" together, as this task states, is not yet true. Tracked by GitHub #130 / tracker ID 62.</t>
        </is>
      </c>
    </row>
    <row r="6">
      <c r="A6" s="12" t="n">
        <v>5</v>
      </c>
      <c r="B6" s="12" t="inlineStr">
        <is>
          <t>Phase 0</t>
        </is>
      </c>
      <c r="C6" s="12" t="inlineStr">
        <is>
          <t>Protect Current Working Setup</t>
        </is>
      </c>
      <c r="D6" s="12" t="inlineStr">
        <is>
          <t>Document rollback and recovery steps</t>
        </is>
      </c>
      <c r="E6" s="12" t="inlineStr">
        <is>
          <t>In Progress</t>
        </is>
      </c>
      <c r="F6" s="12" t="inlineStr">
        <is>
          <t>High</t>
        </is>
      </c>
      <c r="G6" s="12" t="str"/>
      <c r="H6" s="30" t="n"/>
      <c r="I6" s="12" t="inlineStr">
        <is>
          <t>Needs final validation.</t>
        </is>
      </c>
    </row>
    <row r="7">
      <c r="A7" s="12" t="n">
        <v>6</v>
      </c>
      <c r="B7" s="12" t="inlineStr">
        <is>
          <t>Phase 0</t>
        </is>
      </c>
      <c r="C7" s="12" t="inlineStr">
        <is>
          <t>Protect Current Working Setup</t>
        </is>
      </c>
      <c r="D7" s="12" t="inlineStr">
        <is>
          <t>Perform rollback test</t>
        </is>
      </c>
      <c r="E7" s="12" t="inlineStr">
        <is>
          <t>Not Started</t>
        </is>
      </c>
      <c r="F7" s="12" t="inlineStr">
        <is>
          <t>High</t>
        </is>
      </c>
      <c r="G7" s="12" t="str"/>
      <c r="H7" s="30" t="n"/>
      <c r="I7" s="12" t="inlineStr">
        <is>
          <t>Required before production approval.</t>
        </is>
      </c>
    </row>
    <row r="8">
      <c r="A8" s="12" t="n">
        <v>7</v>
      </c>
      <c r="B8" s="12" t="inlineStr">
        <is>
          <t>Phase 0</t>
        </is>
      </c>
      <c r="C8" s="12" t="inlineStr">
        <is>
          <t>Protect Current Working Setup</t>
        </is>
      </c>
      <c r="D8" s="12" t="inlineStr">
        <is>
          <t>Perform disaster-recovery drill</t>
        </is>
      </c>
      <c r="E8" s="12" t="inlineStr">
        <is>
          <t>Not Started</t>
        </is>
      </c>
      <c r="F8" s="12" t="inlineStr">
        <is>
          <t>Medium</t>
        </is>
      </c>
      <c r="G8" s="12" t="str"/>
      <c r="H8" s="30" t="n"/>
      <c r="I8" s="12" t="inlineStr">
        <is>
          <t>Production readiness validation.</t>
        </is>
      </c>
    </row>
    <row r="9">
      <c r="A9" s="12" t="n">
        <v>8</v>
      </c>
      <c r="B9" s="12" t="inlineStr">
        <is>
          <t>Phase 1</t>
        </is>
      </c>
      <c r="C9" s="12" t="inlineStr">
        <is>
          <t>Production Readiness</t>
        </is>
      </c>
      <c r="D9" s="12" t="inlineStr">
        <is>
          <t>Consolidate production roadmap</t>
        </is>
      </c>
      <c r="E9" s="12" t="inlineStr">
        <is>
          <t>In Progress</t>
        </is>
      </c>
      <c r="F9" s="12" t="inlineStr">
        <is>
          <t>High</t>
        </is>
      </c>
      <c r="G9" s="12" t="str"/>
      <c r="H9" s="30" t="n"/>
      <c r="I9" s="12" t="inlineStr">
        <is>
          <t>Use this tracker as the consolidated source of truth.</t>
        </is>
      </c>
    </row>
    <row r="10">
      <c r="A10" s="12" t="n">
        <v>9</v>
      </c>
      <c r="B10" s="12" t="inlineStr">
        <is>
          <t>Phase 1</t>
        </is>
      </c>
      <c r="C10" s="12" t="inlineStr">
        <is>
          <t>Production Readiness</t>
        </is>
      </c>
      <c r="D10" s="12" t="inlineStr">
        <is>
          <t>Complete Production Readiness Review</t>
        </is>
      </c>
      <c r="E10" s="12" t="inlineStr">
        <is>
          <t>In Progress</t>
        </is>
      </c>
      <c r="F10" s="12" t="inlineStr">
        <is>
          <t>Critical</t>
        </is>
      </c>
      <c r="G10" s="12" t="str"/>
      <c r="H10" s="30" t="n"/>
      <c r="I10" s="12" t="inlineStr">
        <is>
          <t>Multiple launch gaps remain.</t>
        </is>
      </c>
    </row>
    <row r="11">
      <c r="A11" s="12" t="n">
        <v>10</v>
      </c>
      <c r="B11" s="12" t="inlineStr">
        <is>
          <t>Phase 1</t>
        </is>
      </c>
      <c r="C11" s="12" t="inlineStr">
        <is>
          <t>Production Readiness</t>
        </is>
      </c>
      <c r="D11" s="12" t="inlineStr">
        <is>
          <t>Map architecture, data flow and trust boundaries</t>
        </is>
      </c>
      <c r="E11" s="12" t="inlineStr">
        <is>
          <t>In Progress</t>
        </is>
      </c>
      <c r="F11" s="12" t="inlineStr">
        <is>
          <t>High</t>
        </is>
      </c>
      <c r="G11" s="12" t="str"/>
      <c r="H11" s="30" t="n"/>
      <c r="I11" s="12" t="inlineStr">
        <is>
          <t>Architecture exists; trust-boundary validation remains.</t>
        </is>
      </c>
    </row>
    <row r="12">
      <c r="A12" s="12" t="n">
        <v>11</v>
      </c>
      <c r="B12" s="12" t="inlineStr">
        <is>
          <t>Phase 1</t>
        </is>
      </c>
      <c r="C12" s="12" t="inlineStr">
        <is>
          <t>Production Readiness</t>
        </is>
      </c>
      <c r="D12" s="12" t="inlineStr">
        <is>
          <t>Validate Agent Gateway architecture</t>
        </is>
      </c>
      <c r="E12" s="12" t="inlineStr">
        <is>
          <t>In Progress</t>
        </is>
      </c>
      <c r="F12" s="12" t="inlineStr">
        <is>
          <t>High</t>
        </is>
      </c>
      <c r="G12" s="12" t="str"/>
      <c r="H12" s="30" t="n"/>
      <c r="I12" s="12" t="inlineStr">
        <is>
          <t>Gateway works; final production validation remains.</t>
        </is>
      </c>
    </row>
    <row r="13">
      <c r="A13" s="12" t="n">
        <v>12</v>
      </c>
      <c r="B13" s="12" t="inlineStr">
        <is>
          <t>Phase 1</t>
        </is>
      </c>
      <c r="C13" s="12" t="inlineStr">
        <is>
          <t>Production Readiness</t>
        </is>
      </c>
      <c r="D13" s="12" t="inlineStr">
        <is>
          <t>Validate Agent Identity architecture</t>
        </is>
      </c>
      <c r="E13" s="12" t="inlineStr">
        <is>
          <t>Completed</t>
        </is>
      </c>
      <c r="F13" s="12" t="inlineStr">
        <is>
          <t>High</t>
        </is>
      </c>
      <c r="G13" s="12" t="str"/>
      <c r="H13" s="30" t="n"/>
      <c r="I13" s="12" t="inlineStr">
        <is>
          <t>Implemented.</t>
        </is>
      </c>
    </row>
    <row r="14">
      <c r="A14" s="12" t="n">
        <v>13</v>
      </c>
      <c r="B14" s="12" t="inlineStr">
        <is>
          <t>Phase 1</t>
        </is>
      </c>
      <c r="C14" s="12" t="inlineStr">
        <is>
          <t>Production Readiness</t>
        </is>
      </c>
      <c r="D14" s="12" t="inlineStr">
        <is>
          <t>Validate IAM and identities</t>
        </is>
      </c>
      <c r="E14" s="12" t="inlineStr">
        <is>
          <t>In Progress</t>
        </is>
      </c>
      <c r="F14" s="12" t="inlineStr">
        <is>
          <t>Critical</t>
        </is>
      </c>
      <c r="G14" s="12" t="str"/>
      <c r="H14" s="30" t="n"/>
      <c r="I14" s="12" t="inlineStr">
        <is>
          <t>Cross-project and least-privilege review remains.</t>
        </is>
      </c>
    </row>
    <row r="15">
      <c r="A15" s="12" t="n">
        <v>14</v>
      </c>
      <c r="B15" s="12" t="inlineStr">
        <is>
          <t>Phase 1</t>
        </is>
      </c>
      <c r="C15" s="12" t="inlineStr">
        <is>
          <t>Production Readiness</t>
        </is>
      </c>
      <c r="D15" s="12" t="inlineStr">
        <is>
          <t>Confirm Kubernetes access is read-only</t>
        </is>
      </c>
      <c r="E15" s="12" t="inlineStr">
        <is>
          <t>Completed</t>
        </is>
      </c>
      <c r="F15" s="12" t="inlineStr">
        <is>
          <t>Critical</t>
        </is>
      </c>
      <c r="G15" s="12" t="str"/>
      <c r="H15" s="30" t="n"/>
      <c r="I15" s="12" t="inlineStr">
        <is>
          <t>Read-only controls implemented.</t>
        </is>
      </c>
    </row>
    <row r="16">
      <c r="A16" s="12" t="n">
        <v>15</v>
      </c>
      <c r="B16" s="12" t="inlineStr">
        <is>
          <t>Phase 1</t>
        </is>
      </c>
      <c r="C16" s="12" t="inlineStr">
        <is>
          <t>Production Readiness</t>
        </is>
      </c>
      <c r="D16" s="12" t="inlineStr">
        <is>
          <t>Review secrets and sensitive-data handling</t>
        </is>
      </c>
      <c r="E16" s="12" t="inlineStr">
        <is>
          <t>In Progress</t>
        </is>
      </c>
      <c r="F16" s="12" t="inlineStr">
        <is>
          <t>High</t>
        </is>
      </c>
      <c r="G16" s="12" t="str"/>
      <c r="H16" s="30" t="n"/>
      <c r="I16" s="12" t="inlineStr">
        <is>
          <t>Final security review required.</t>
        </is>
      </c>
    </row>
    <row r="17">
      <c r="A17" s="12" t="n">
        <v>16</v>
      </c>
      <c r="B17" s="12" t="inlineStr">
        <is>
          <t>Phase 1</t>
        </is>
      </c>
      <c r="C17" s="12" t="inlineStr">
        <is>
          <t>Production Readiness</t>
        </is>
      </c>
      <c r="D17" s="12" t="inlineStr">
        <is>
          <t>Validate evidence storage</t>
        </is>
      </c>
      <c r="E17" s="12" t="inlineStr">
        <is>
          <t>In Progress</t>
        </is>
      </c>
      <c r="F17" s="12" t="inlineStr">
        <is>
          <t>High</t>
        </is>
      </c>
      <c r="G17" s="12" t="str"/>
      <c r="H17" s="30" t="n"/>
      <c r="I17" s="12" t="inlineStr">
        <is>
          <t>Auditable persistence needs final validation.</t>
        </is>
      </c>
    </row>
    <row r="18">
      <c r="A18" s="12" t="n">
        <v>17</v>
      </c>
      <c r="B18" s="12" t="inlineStr">
        <is>
          <t>Phase 1</t>
        </is>
      </c>
      <c r="C18" s="12" t="inlineStr">
        <is>
          <t>Production Readiness</t>
        </is>
      </c>
      <c r="D18" s="12" t="inlineStr">
        <is>
          <t>Final production-readiness approval</t>
        </is>
      </c>
      <c r="E18" s="12" t="inlineStr">
        <is>
          <t>Not Started</t>
        </is>
      </c>
      <c r="F18" s="12" t="inlineStr">
        <is>
          <t>Critical</t>
        </is>
      </c>
      <c r="G18" s="12" t="str"/>
      <c r="H18" s="30" t="n"/>
      <c r="I18" s="12" t="inlineStr">
        <is>
          <t>Gated on launch blockers.</t>
        </is>
      </c>
    </row>
    <row r="19">
      <c r="A19" s="12" t="n">
        <v>18</v>
      </c>
      <c r="B19" s="12" t="inlineStr">
        <is>
          <t>Phase 2</t>
        </is>
      </c>
      <c r="C19" s="12" t="inlineStr">
        <is>
          <t>Agent Gateway &amp; Model Armor</t>
        </is>
      </c>
      <c r="D19" s="12" t="inlineStr">
        <is>
          <t>Document Agent Gateway certificate issue and confirmed fix</t>
        </is>
      </c>
      <c r="E19" s="12" t="inlineStr">
        <is>
          <t>Completed</t>
        </is>
      </c>
      <c r="F19" s="12" t="inlineStr">
        <is>
          <t>Medium</t>
        </is>
      </c>
      <c r="G19" s="12" t="str"/>
      <c r="H19" s="30" t="n"/>
      <c r="I19" s="12" t="inlineStr">
        <is>
          <t>Earlier issue no longer blocks Terraform-managed path.</t>
        </is>
      </c>
    </row>
    <row r="20">
      <c r="A20" s="12" t="n">
        <v>19</v>
      </c>
      <c r="B20" s="12" t="inlineStr">
        <is>
          <t>Phase 2</t>
        </is>
      </c>
      <c r="C20" s="12" t="inlineStr">
        <is>
          <t>Agent Gateway &amp; Model Armor</t>
        </is>
      </c>
      <c r="D20" s="12" t="inlineStr">
        <is>
          <t>Confirm current Agent Gateway configuration</t>
        </is>
      </c>
      <c r="E20" s="12" t="inlineStr">
        <is>
          <t>Completed</t>
        </is>
      </c>
      <c r="F20" s="12" t="inlineStr">
        <is>
          <t>High</t>
        </is>
      </c>
      <c r="G20" s="12" t="str"/>
      <c r="H20" s="30" t="n"/>
      <c r="I20" s="12" t="inlineStr">
        <is>
          <t>Gateway deployed and working.</t>
        </is>
      </c>
    </row>
    <row r="21">
      <c r="A21" s="12" t="n">
        <v>20</v>
      </c>
      <c r="B21" s="12" t="inlineStr">
        <is>
          <t>Phase 2</t>
        </is>
      </c>
      <c r="C21" s="12" t="inlineStr">
        <is>
          <t>Agent Gateway &amp; Model Armor</t>
        </is>
      </c>
      <c r="D21" s="12" t="inlineStr">
        <is>
          <t>Final Agent Gateway production validation</t>
        </is>
      </c>
      <c r="E21" s="12" t="inlineStr">
        <is>
          <t>In Progress</t>
        </is>
      </c>
      <c r="F21" s="12" t="inlineStr">
        <is>
          <t>High</t>
        </is>
      </c>
      <c r="G21" s="12" t="str"/>
      <c r="H21" s="30" t="n"/>
      <c r="I21" s="12" t="inlineStr">
        <is>
          <t>Validate complete traffic/security behavior.</t>
        </is>
      </c>
    </row>
    <row r="22">
      <c r="A22" s="12" t="n">
        <v>21</v>
      </c>
      <c r="B22" s="12" t="inlineStr">
        <is>
          <t>Phase 2</t>
        </is>
      </c>
      <c r="C22" s="12" t="inlineStr">
        <is>
          <t>Agent Gateway &amp; Model Armor</t>
        </is>
      </c>
      <c r="D22" s="12" t="inlineStr">
        <is>
          <t>Confirm current Model Armor configuration</t>
        </is>
      </c>
      <c r="E22" s="12" t="inlineStr">
        <is>
          <t>In Progress</t>
        </is>
      </c>
      <c r="F22" s="12" t="inlineStr">
        <is>
          <t>High</t>
        </is>
      </c>
      <c r="G22" s="12" t="str"/>
      <c r="H22" s="30" t="n"/>
      <c r="I22" s="12" t="inlineStr">
        <is>
          <t>Templates exist; live content inspection not active.</t>
        </is>
      </c>
    </row>
    <row r="23">
      <c r="A23" s="12" t="n">
        <v>22</v>
      </c>
      <c r="B23" s="12" t="inlineStr">
        <is>
          <t>Phase 2</t>
        </is>
      </c>
      <c r="C23" s="12" t="inlineStr">
        <is>
          <t>Agent Gateway &amp; Model Armor</t>
        </is>
      </c>
      <c r="D23" s="12" t="inlineStr">
        <is>
          <t>Retest Model Armor in clean environment</t>
        </is>
      </c>
      <c r="E23" s="12" t="inlineStr">
        <is>
          <t>In Progress</t>
        </is>
      </c>
      <c r="F23" s="12" t="inlineStr">
        <is>
          <t>High</t>
        </is>
      </c>
      <c r="G23" s="12" t="str"/>
      <c r="H23" s="30" t="n"/>
      <c r="I23" s="12" t="inlineStr">
        <is>
          <t>Controlled validation pending.</t>
        </is>
      </c>
    </row>
    <row r="24">
      <c r="A24" s="12" t="n">
        <v>23</v>
      </c>
      <c r="B24" s="12" t="inlineStr">
        <is>
          <t>Phase 2</t>
        </is>
      </c>
      <c r="C24" s="12" t="inlineStr">
        <is>
          <t>Agent Gateway &amp; Model Armor</t>
        </is>
      </c>
      <c r="D24" s="12" t="inlineStr">
        <is>
          <t>Test Model Armor with Agent Identity, IAP and Agent Gateway</t>
        </is>
      </c>
      <c r="E24" s="12" t="inlineStr">
        <is>
          <t>Not Started</t>
        </is>
      </c>
      <c r="F24" s="12" t="inlineStr">
        <is>
          <t>High</t>
        </is>
      </c>
      <c r="G24" s="12" t="str"/>
      <c r="H24" s="30" t="n"/>
      <c r="I24" s="12" t="inlineStr">
        <is>
          <t>Use supported regional integration.</t>
        </is>
      </c>
    </row>
    <row r="25">
      <c r="A25" s="12" t="n">
        <v>24</v>
      </c>
      <c r="B25" s="12" t="inlineStr">
        <is>
          <t>Phase 2</t>
        </is>
      </c>
      <c r="C25" s="12" t="inlineStr">
        <is>
          <t>Agent Gateway &amp; Model Armor</t>
        </is>
      </c>
      <c r="D25" s="12" t="inlineStr">
        <is>
          <t>Define separate Model Armor policies for input/evidence/output</t>
        </is>
      </c>
      <c r="E25" s="12" t="inlineStr">
        <is>
          <t>Not Started</t>
        </is>
      </c>
      <c r="F25" s="12" t="inlineStr">
        <is>
          <t>Medium</t>
        </is>
      </c>
      <c r="G25" s="12" t="str"/>
      <c r="H25" s="30" t="n"/>
      <c r="I25" s="12" t="inlineStr">
        <is>
          <t>Pending architecture validation.</t>
        </is>
      </c>
    </row>
    <row r="26">
      <c r="A26" s="12" t="n">
        <v>25</v>
      </c>
      <c r="B26" s="12" t="inlineStr">
        <is>
          <t>Phase 2</t>
        </is>
      </c>
      <c r="C26" s="12" t="inlineStr">
        <is>
          <t>Agent Gateway &amp; Model Armor</t>
        </is>
      </c>
      <c r="D26" s="12" t="inlineStr">
        <is>
          <t>Test Kubernetes logs/events for false positives</t>
        </is>
      </c>
      <c r="E26" s="12" t="inlineStr">
        <is>
          <t>Not Started</t>
        </is>
      </c>
      <c r="F26" s="12" t="inlineStr">
        <is>
          <t>Medium</t>
        </is>
      </c>
      <c r="G26" s="12" t="str"/>
      <c r="H26" s="30" t="n"/>
      <c r="I26" s="12" t="inlineStr">
        <is>
          <t>Needed before enforcement.</t>
        </is>
      </c>
    </row>
    <row r="27">
      <c r="A27" s="12" t="n">
        <v>26</v>
      </c>
      <c r="B27" s="12" t="inlineStr">
        <is>
          <t>Phase 2</t>
        </is>
      </c>
      <c r="C27" s="12" t="inlineStr">
        <is>
          <t>Agent Gateway &amp; Model Armor</t>
        </is>
      </c>
      <c r="D27" s="12" t="inlineStr">
        <is>
          <t>Confirm Model Armor failure/fallback behaviour</t>
        </is>
      </c>
      <c r="E27" s="12" t="inlineStr">
        <is>
          <t>Not Started</t>
        </is>
      </c>
      <c r="F27" s="12" t="inlineStr">
        <is>
          <t>High</t>
        </is>
      </c>
      <c r="G27" s="12" t="str"/>
      <c r="H27" s="30" t="n"/>
      <c r="I27" s="12" t="inlineStr">
        <is>
          <t>Needs explicit failure-mode test.</t>
        </is>
      </c>
    </row>
    <row r="28">
      <c r="A28" s="12" t="n">
        <v>27</v>
      </c>
      <c r="B28" s="12" t="inlineStr">
        <is>
          <t>Phase 3</t>
        </is>
      </c>
      <c r="C28" s="12" t="inlineStr">
        <is>
          <t>RCA Output &amp; Evidence</t>
        </is>
      </c>
      <c r="D28" s="12" t="inlineStr">
        <is>
          <t>Evidence-backed RCA</t>
        </is>
      </c>
      <c r="E28" s="12" t="inlineStr">
        <is>
          <t>Completed</t>
        </is>
      </c>
      <c r="F28" s="12" t="inlineStr">
        <is>
          <t>Critical</t>
        </is>
      </c>
      <c r="G28" s="12" t="str"/>
      <c r="H28" s="30" t="n"/>
      <c r="I28" s="12" t="inlineStr">
        <is>
          <t>Implemented.</t>
        </is>
      </c>
    </row>
    <row r="29">
      <c r="A29" s="12" t="n">
        <v>28</v>
      </c>
      <c r="B29" s="12" t="inlineStr">
        <is>
          <t>Phase 3</t>
        </is>
      </c>
      <c r="C29" s="12" t="inlineStr">
        <is>
          <t>RCA Output &amp; Evidence</t>
        </is>
      </c>
      <c r="D29" s="12" t="inlineStr">
        <is>
          <t>Evidence IDs on important RCA claims</t>
        </is>
      </c>
      <c r="E29" s="12" t="inlineStr">
        <is>
          <t>Completed</t>
        </is>
      </c>
      <c r="F29" s="12" t="inlineStr">
        <is>
          <t>Critical</t>
        </is>
      </c>
      <c r="G29" s="12" t="str"/>
      <c r="H29" s="30" t="n"/>
      <c r="I29" s="12" t="inlineStr">
        <is>
          <t>Implemented.</t>
        </is>
      </c>
    </row>
    <row r="30">
      <c r="A30" s="12" t="n">
        <v>29</v>
      </c>
      <c r="B30" s="12" t="inlineStr">
        <is>
          <t>Phase 3</t>
        </is>
      </c>
      <c r="C30" s="12" t="inlineStr">
        <is>
          <t>RCA Output &amp; Evidence</t>
        </is>
      </c>
      <c r="D30" s="12" t="inlineStr">
        <is>
          <t>Prevent unsupported conclusions from being confirmed</t>
        </is>
      </c>
      <c r="E30" s="12" t="inlineStr">
        <is>
          <t>Completed</t>
        </is>
      </c>
      <c r="F30" s="12" t="inlineStr">
        <is>
          <t>Critical</t>
        </is>
      </c>
      <c r="G30" s="12" t="str"/>
      <c r="H30" s="30" t="n"/>
      <c r="I30" s="12" t="inlineStr">
        <is>
          <t>Insufficient-evidence path exists.</t>
        </is>
      </c>
    </row>
    <row r="31">
      <c r="A31" s="12" t="n">
        <v>30</v>
      </c>
      <c r="B31" s="12" t="inlineStr">
        <is>
          <t>Phase 3</t>
        </is>
      </c>
      <c r="C31" s="12" t="inlineStr">
        <is>
          <t>RCA Output &amp; Evidence</t>
        </is>
      </c>
      <c r="D31" s="12" t="inlineStr">
        <is>
          <t>Executive-first RCA output redesign</t>
        </is>
      </c>
      <c r="E31" s="12" t="inlineStr">
        <is>
          <t>In Progress</t>
        </is>
      </c>
      <c r="F31" s="12" t="inlineStr">
        <is>
          <t>Medium</t>
        </is>
      </c>
      <c r="G31" s="12" t="str"/>
      <c r="H31" s="30" t="n"/>
      <c r="I31" s="12" t="inlineStr">
        <is>
          <t>Hardening/simplification remains.</t>
        </is>
      </c>
    </row>
    <row r="32">
      <c r="A32" s="12" t="n">
        <v>31</v>
      </c>
      <c r="B32" s="12" t="inlineStr">
        <is>
          <t>Phase 3</t>
        </is>
      </c>
      <c r="C32" s="12" t="inlineStr">
        <is>
          <t>RCA Output &amp; Evidence</t>
        </is>
      </c>
      <c r="D32" s="12" t="inlineStr">
        <is>
          <t>Remove duplicated/weak root-cause claims</t>
        </is>
      </c>
      <c r="E32" s="12" t="inlineStr">
        <is>
          <t>In Progress</t>
        </is>
      </c>
      <c r="F32" s="12" t="inlineStr">
        <is>
          <t>High</t>
        </is>
      </c>
      <c r="G32" s="12" t="str"/>
      <c r="H32" s="30" t="n"/>
      <c r="I32" s="12" t="inlineStr">
        <is>
          <t>Grounding-quality fixes remain.</t>
        </is>
      </c>
    </row>
    <row r="33">
      <c r="A33" s="12" t="n">
        <v>32</v>
      </c>
      <c r="B33" s="12" t="inlineStr">
        <is>
          <t>Phase 3</t>
        </is>
      </c>
      <c r="C33" s="12" t="inlineStr">
        <is>
          <t>RCA Output &amp; Evidence</t>
        </is>
      </c>
      <c r="D33" s="12" t="inlineStr">
        <is>
          <t>Supporting, contradicting and missing evidence</t>
        </is>
      </c>
      <c r="E33" s="12" t="inlineStr">
        <is>
          <t>In Progress</t>
        </is>
      </c>
      <c r="F33" s="12" t="inlineStr">
        <is>
          <t>High</t>
        </is>
      </c>
      <c r="G33" s="12" t="str"/>
      <c r="H33" s="30" t="n"/>
      <c r="I33" s="12" t="inlineStr">
        <is>
          <t>Needs stronger deterministic handling.</t>
        </is>
      </c>
    </row>
    <row r="34">
      <c r="A34" s="12" t="n">
        <v>33</v>
      </c>
      <c r="B34" s="12" t="inlineStr">
        <is>
          <t>Phase 3</t>
        </is>
      </c>
      <c r="C34" s="12" t="inlineStr">
        <is>
          <t>RCA Output &amp; Evidence</t>
        </is>
      </c>
      <c r="D34" s="12" t="inlineStr">
        <is>
          <t>Affected-resource and incident-time information</t>
        </is>
      </c>
      <c r="E34" s="12" t="inlineStr">
        <is>
          <t>In Progress</t>
        </is>
      </c>
      <c r="F34" s="12" t="inlineStr">
        <is>
          <t>Medium</t>
        </is>
      </c>
      <c r="G34" s="12" t="str"/>
      <c r="H34" s="30" t="n"/>
      <c r="I34" s="12" t="inlineStr">
        <is>
          <t>Time/resource validation needs improvement.</t>
        </is>
      </c>
    </row>
    <row r="35">
      <c r="A35" s="12" t="n">
        <v>34</v>
      </c>
      <c r="B35" s="12" t="inlineStr">
        <is>
          <t>Phase 3</t>
        </is>
      </c>
      <c r="C35" s="12" t="inlineStr">
        <is>
          <t>RCA Output &amp; Evidence</t>
        </is>
      </c>
      <c r="D35" s="12" t="inlineStr">
        <is>
          <t>Alternatives considered</t>
        </is>
      </c>
      <c r="E35" s="12" t="inlineStr">
        <is>
          <t>In Progress</t>
        </is>
      </c>
      <c r="F35" s="12" t="inlineStr">
        <is>
          <t>Medium</t>
        </is>
      </c>
      <c r="G35" s="12" t="str"/>
      <c r="H35" s="30" t="n"/>
      <c r="I35" s="12" t="inlineStr">
        <is>
          <t>Dynamic alternative-cause handling incomplete.</t>
        </is>
      </c>
    </row>
    <row r="36">
      <c r="A36" s="12" t="n">
        <v>35</v>
      </c>
      <c r="B36" s="12" t="inlineStr">
        <is>
          <t>Phase 3</t>
        </is>
      </c>
      <c r="C36" s="12" t="inlineStr">
        <is>
          <t>RCA Output &amp; Evidence</t>
        </is>
      </c>
      <c r="D36" s="12" t="inlineStr">
        <is>
          <t>Service/user-impact detection</t>
        </is>
      </c>
      <c r="E36" s="12" t="inlineStr">
        <is>
          <t>Blocked</t>
        </is>
      </c>
      <c r="F36" s="12" t="inlineStr">
        <is>
          <t>Critical</t>
        </is>
      </c>
      <c r="G36" s="12" t="str"/>
      <c r="H36" s="30" t="n"/>
      <c r="I36" s="12" t="inlineStr">
        <is>
          <t>Impact is not reliably derived yet.</t>
        </is>
      </c>
    </row>
    <row r="37">
      <c r="A37" s="12" t="n">
        <v>36</v>
      </c>
      <c r="B37" s="12" t="inlineStr">
        <is>
          <t>Phase 3</t>
        </is>
      </c>
      <c r="C37" s="12" t="inlineStr">
        <is>
          <t>RCA Output &amp; Evidence</t>
        </is>
      </c>
      <c r="D37" s="12" t="inlineStr">
        <is>
          <t>Human-approved remediation only</t>
        </is>
      </c>
      <c r="E37" s="12" t="inlineStr">
        <is>
          <t>Completed</t>
        </is>
      </c>
      <c r="F37" s="12" t="inlineStr">
        <is>
          <t>Critical</t>
        </is>
      </c>
      <c r="G37" s="12" t="str"/>
      <c r="H37" s="30" t="n"/>
      <c r="I37" s="12" t="inlineStr">
        <is>
          <t>Core design rule.</t>
        </is>
      </c>
    </row>
    <row r="38">
      <c r="A38" s="12" t="n">
        <v>37</v>
      </c>
      <c r="B38" s="12" t="inlineStr">
        <is>
          <t>Phase 4</t>
        </is>
      </c>
      <c r="C38" s="12" t="inlineStr">
        <is>
          <t>Dynamic Investigation &amp; Confidence</t>
        </is>
      </c>
      <c r="D38" s="12" t="inlineStr">
        <is>
          <t>Separate Investigation Completeness and Root Cause Confidence</t>
        </is>
      </c>
      <c r="E38" s="12" t="inlineStr">
        <is>
          <t>Completed</t>
        </is>
      </c>
      <c r="F38" s="12" t="inlineStr">
        <is>
          <t>Critical</t>
        </is>
      </c>
      <c r="G38" s="12" t="str"/>
      <c r="H38" s="30" t="n"/>
      <c r="I38" s="12" t="inlineStr">
        <is>
          <t>Two-score model implemented.</t>
        </is>
      </c>
    </row>
    <row r="39">
      <c r="A39" s="12" t="n">
        <v>38</v>
      </c>
      <c r="B39" s="12" t="inlineStr">
        <is>
          <t>Phase 4</t>
        </is>
      </c>
      <c r="C39" s="12" t="inlineStr">
        <is>
          <t>Dynamic Investigation &amp; Confidence</t>
        </is>
      </c>
      <c r="D39" s="12" t="inlineStr">
        <is>
          <t>Deterministic application-side confidence scoring</t>
        </is>
      </c>
      <c r="E39" s="12" t="inlineStr">
        <is>
          <t>Completed</t>
        </is>
      </c>
      <c r="F39" s="12" t="inlineStr">
        <is>
          <t>Critical</t>
        </is>
      </c>
      <c r="G39" s="12" t="str"/>
      <c r="H39" s="30" t="n"/>
      <c r="I39" s="12" t="inlineStr">
        <is>
          <t>Implemented and tested.</t>
        </is>
      </c>
    </row>
    <row r="40">
      <c r="A40" s="12" t="n">
        <v>39</v>
      </c>
      <c r="B40" s="12" t="inlineStr">
        <is>
          <t>Phase 4</t>
        </is>
      </c>
      <c r="C40" s="12" t="inlineStr">
        <is>
          <t>Dynamic Investigation &amp; Confidence</t>
        </is>
      </c>
      <c r="D40" s="12" t="inlineStr">
        <is>
          <t>Contradiction handling</t>
        </is>
      </c>
      <c r="E40" s="12" t="inlineStr">
        <is>
          <t>In Progress</t>
        </is>
      </c>
      <c r="F40" s="12" t="inlineStr">
        <is>
          <t>High</t>
        </is>
      </c>
      <c r="G40" s="12" t="str"/>
      <c r="H40" s="30" t="n"/>
      <c r="I40" s="12" t="inlineStr">
        <is>
          <t>Needs production hardening.</t>
        </is>
      </c>
    </row>
    <row r="41">
      <c r="A41" s="12" t="n">
        <v>40</v>
      </c>
      <c r="B41" s="12" t="inlineStr">
        <is>
          <t>Phase 4</t>
        </is>
      </c>
      <c r="C41" s="12" t="inlineStr">
        <is>
          <t>Dynamic Investigation &amp; Confidence</t>
        </is>
      </c>
      <c r="D41" s="12" t="inlineStr">
        <is>
          <t>Missing/failed/stale evidence penalties and caps</t>
        </is>
      </c>
      <c r="E41" s="12" t="inlineStr">
        <is>
          <t>In Progress</t>
        </is>
      </c>
      <c r="F41" s="12" t="inlineStr">
        <is>
          <t>High</t>
        </is>
      </c>
      <c r="G41" s="12" t="str"/>
      <c r="H41" s="30" t="n"/>
      <c r="I41" s="12" t="inlineStr">
        <is>
          <t>Coverage bug remains in some failed-tool cases.</t>
        </is>
      </c>
    </row>
    <row r="42">
      <c r="A42" s="12" t="n">
        <v>41</v>
      </c>
      <c r="B42" s="12" t="inlineStr">
        <is>
          <t>Phase 4</t>
        </is>
      </c>
      <c r="C42" s="12" t="inlineStr">
        <is>
          <t>Dynamic Investigation &amp; Confidence</t>
        </is>
      </c>
      <c r="D42" s="12" t="inlineStr">
        <is>
          <t>Confidence calibration testing</t>
        </is>
      </c>
      <c r="E42" s="12" t="inlineStr">
        <is>
          <t>Not Started</t>
        </is>
      </c>
      <c r="F42" s="12" t="inlineStr">
        <is>
          <t>Medium</t>
        </is>
      </c>
      <c r="G42" s="12" t="str"/>
      <c r="H42" s="30" t="n"/>
      <c r="I42" s="12" t="inlineStr">
        <is>
          <t>Compare confidence with actual RCA accuracy.</t>
        </is>
      </c>
    </row>
    <row r="43">
      <c r="A43" s="12" t="n">
        <v>42</v>
      </c>
      <c r="B43" s="12" t="inlineStr">
        <is>
          <t>Phase 4</t>
        </is>
      </c>
      <c r="C43" s="12" t="inlineStr">
        <is>
          <t>Dynamic Investigation &amp; Confidence</t>
        </is>
      </c>
      <c r="D43" s="12" t="inlineStr">
        <is>
          <t>Dynamic investigation loop</t>
        </is>
      </c>
      <c r="E43" s="12" t="inlineStr">
        <is>
          <t>In Progress</t>
        </is>
      </c>
      <c r="F43" s="12" t="inlineStr">
        <is>
          <t>Critical</t>
        </is>
      </c>
      <c r="G43" s="12" t="str"/>
      <c r="H43" s="30" t="n"/>
      <c r="I43" s="12" t="inlineStr">
        <is>
          <t>Loop exists; correctness gaps remain.</t>
        </is>
      </c>
    </row>
    <row r="44">
      <c r="A44" s="12" t="n">
        <v>43</v>
      </c>
      <c r="B44" s="12" t="inlineStr">
        <is>
          <t>Phase 4</t>
        </is>
      </c>
      <c r="C44" s="12" t="inlineStr">
        <is>
          <t>Dynamic Investigation &amp; Confidence</t>
        </is>
      </c>
      <c r="D44" s="12" t="inlineStr">
        <is>
          <t>Dynamic hypothesis generation/testing</t>
        </is>
      </c>
      <c r="E44" s="12" t="inlineStr">
        <is>
          <t>In Progress</t>
        </is>
      </c>
      <c r="F44" s="12" t="inlineStr">
        <is>
          <t>High</t>
        </is>
      </c>
      <c r="G44" s="12" t="str"/>
      <c r="H44" s="30" t="n"/>
      <c r="I44" s="12" t="inlineStr">
        <is>
          <t>Expected-vs-contradicting evidence loop incomplete.</t>
        </is>
      </c>
    </row>
    <row r="45">
      <c r="A45" s="12" t="n">
        <v>44</v>
      </c>
      <c r="B45" s="12" t="inlineStr">
        <is>
          <t>Phase 4</t>
        </is>
      </c>
      <c r="C45" s="12" t="inlineStr">
        <is>
          <t>Dynamic Investigation &amp; Confidence</t>
        </is>
      </c>
      <c r="D45" s="12" t="inlineStr">
        <is>
          <t>Allow insufficient evidence / unknown cause</t>
        </is>
      </c>
      <c r="E45" s="12" t="inlineStr">
        <is>
          <t>Completed</t>
        </is>
      </c>
      <c r="F45" s="12" t="inlineStr">
        <is>
          <t>Critical</t>
        </is>
      </c>
      <c r="G45" s="12" t="str"/>
      <c r="H45" s="30" t="n"/>
      <c r="I45" s="12" t="inlineStr">
        <is>
          <t>Implemented.</t>
        </is>
      </c>
    </row>
    <row r="46">
      <c r="A46" s="12" t="n">
        <v>45</v>
      </c>
      <c r="B46" s="12" t="inlineStr">
        <is>
          <t>Phase 4</t>
        </is>
      </c>
      <c r="C46" s="12" t="inlineStr">
        <is>
          <t>Dynamic Investigation &amp; Confidence</t>
        </is>
      </c>
      <c r="D46" s="12" t="inlineStr">
        <is>
          <t>Support multiple possible causes</t>
        </is>
      </c>
      <c r="E46" s="12" t="inlineStr">
        <is>
          <t>In Progress</t>
        </is>
      </c>
      <c r="F46" s="12" t="inlineStr">
        <is>
          <t>Medium</t>
        </is>
      </c>
      <c r="G46" s="12" t="str"/>
      <c r="H46" s="30" t="n"/>
      <c r="I46" s="12" t="inlineStr">
        <is>
          <t>Needs validation.</t>
        </is>
      </c>
    </row>
    <row r="47">
      <c r="A47" s="12" t="n">
        <v>46</v>
      </c>
      <c r="B47" s="12" t="inlineStr">
        <is>
          <t>Phase 5</t>
        </is>
      </c>
      <c r="C47" s="12" t="inlineStr">
        <is>
          <t>Testing &amp; Evaluation</t>
        </is>
      </c>
      <c r="D47" s="12" t="inlineStr">
        <is>
          <t>Automated Python test suite</t>
        </is>
      </c>
      <c r="E47" s="12" t="inlineStr">
        <is>
          <t>Completed</t>
        </is>
      </c>
      <c r="F47" s="12" t="inlineStr">
        <is>
          <t>High</t>
        </is>
      </c>
      <c r="G47" s="12" t="str"/>
      <c r="H47" s="30" t="n"/>
      <c r="I47" s="12" t="inlineStr">
        <is>
          <t>Substantial coverage exists.</t>
        </is>
      </c>
    </row>
    <row r="48">
      <c r="A48" s="12" t="n">
        <v>47</v>
      </c>
      <c r="B48" s="12" t="inlineStr">
        <is>
          <t>Phase 5</t>
        </is>
      </c>
      <c r="C48" s="12" t="inlineStr">
        <is>
          <t>Testing &amp; Evaluation</t>
        </is>
      </c>
      <c r="D48" s="12" t="inlineStr">
        <is>
          <t>Terraform native tests</t>
        </is>
      </c>
      <c r="E48" s="12" t="inlineStr">
        <is>
          <t>Completed</t>
        </is>
      </c>
      <c r="F48" s="12" t="inlineStr">
        <is>
          <t>High</t>
        </is>
      </c>
      <c r="G48" s="12" t="str"/>
      <c r="H48" s="30" t="n"/>
      <c r="I48" s="12" t="inlineStr">
        <is>
          <t>Implemented.</t>
        </is>
      </c>
    </row>
    <row r="49">
      <c r="A49" s="12" t="n">
        <v>48</v>
      </c>
      <c r="B49" s="12" t="inlineStr">
        <is>
          <t>Phase 5</t>
        </is>
      </c>
      <c r="C49" s="12" t="inlineStr">
        <is>
          <t>Testing &amp; Evaluation</t>
        </is>
      </c>
      <c r="D49" s="12" t="inlineStr">
        <is>
          <t>Golden evaluation dataset</t>
        </is>
      </c>
      <c r="E49" s="12" t="inlineStr">
        <is>
          <t>Completed</t>
        </is>
      </c>
      <c r="F49" s="12" t="inlineStr">
        <is>
          <t>High</t>
        </is>
      </c>
      <c r="G49" s="12" t="str"/>
      <c r="H49" s="30" t="n"/>
      <c r="I49" s="12" t="inlineStr">
        <is>
          <t>Foundation dataset exists.</t>
        </is>
      </c>
    </row>
    <row r="50">
      <c r="A50" s="12" t="n">
        <v>49</v>
      </c>
      <c r="B50" s="12" t="inlineStr">
        <is>
          <t>Phase 5</t>
        </is>
      </c>
      <c r="C50" s="12" t="inlineStr">
        <is>
          <t>Testing &amp; Evaluation</t>
        </is>
      </c>
      <c r="D50" s="12" t="inlineStr">
        <is>
          <t>Evaluation runner</t>
        </is>
      </c>
      <c r="E50" s="12" t="inlineStr">
        <is>
          <t>Completed</t>
        </is>
      </c>
      <c r="F50" s="12" t="inlineStr">
        <is>
          <t>High</t>
        </is>
      </c>
      <c r="G50" s="12" t="str"/>
      <c r="H50" s="30" t="n"/>
      <c r="I50" s="12" t="inlineStr">
        <is>
          <t>Implemented.</t>
        </is>
      </c>
    </row>
    <row r="51">
      <c r="A51" s="12" t="n">
        <v>50</v>
      </c>
      <c r="B51" s="12" t="inlineStr">
        <is>
          <t>Phase 5</t>
        </is>
      </c>
      <c r="C51" s="12" t="inlineStr">
        <is>
          <t>Testing &amp; Evaluation</t>
        </is>
      </c>
      <c r="D51" s="12" t="inlineStr">
        <is>
          <t>Unit tests for all LangGraph nodes</t>
        </is>
      </c>
      <c r="E51" s="12" t="inlineStr">
        <is>
          <t>In Progress</t>
        </is>
      </c>
      <c r="F51" s="12" t="inlineStr">
        <is>
          <t>High</t>
        </is>
      </c>
      <c r="G51" s="12" t="str"/>
      <c r="H51" s="30" t="n"/>
      <c r="I51" s="12" t="inlineStr">
        <is>
          <t>Several direct node tests remain.</t>
        </is>
      </c>
    </row>
    <row r="52">
      <c r="A52" s="12" t="n">
        <v>51</v>
      </c>
      <c r="B52" s="12" t="inlineStr">
        <is>
          <t>Phase 5</t>
        </is>
      </c>
      <c r="C52" s="12" t="inlineStr">
        <is>
          <t>Testing &amp; Evaluation</t>
        </is>
      </c>
      <c r="D52" s="12" t="inlineStr">
        <is>
          <t>Full compiled graph E2E test</t>
        </is>
      </c>
      <c r="E52" s="12" t="inlineStr">
        <is>
          <t>Blocked</t>
        </is>
      </c>
      <c r="F52" s="12" t="inlineStr">
        <is>
          <t>Critical</t>
        </is>
      </c>
      <c r="G52" s="12" t="str"/>
      <c r="H52" s="30" t="n"/>
      <c r="I52" s="12" t="inlineStr">
        <is>
          <t>Required production validation gap.</t>
        </is>
      </c>
    </row>
    <row r="53">
      <c r="A53" s="12" t="n">
        <v>52</v>
      </c>
      <c r="B53" s="12" t="inlineStr">
        <is>
          <t>Phase 5</t>
        </is>
      </c>
      <c r="C53" s="12" t="inlineStr">
        <is>
          <t>Testing &amp; Evaluation</t>
        </is>
      </c>
      <c r="D53" s="12" t="inlineStr">
        <is>
          <t>Entrypoint → Agent → MCP → Evidence → Scorer E2E evaluation</t>
        </is>
      </c>
      <c r="E53" s="12" t="inlineStr">
        <is>
          <t>Blocked</t>
        </is>
      </c>
      <c r="F53" s="12" t="inlineStr">
        <is>
          <t>Critical</t>
        </is>
      </c>
      <c r="G53" s="12" t="str"/>
      <c r="H53" s="30" t="n"/>
      <c r="I53" s="12" t="inlineStr">
        <is>
          <t>Must prove full workflow.</t>
        </is>
      </c>
    </row>
    <row r="54">
      <c r="A54" s="12" t="n">
        <v>53</v>
      </c>
      <c r="B54" s="12" t="inlineStr">
        <is>
          <t>Phase 5</t>
        </is>
      </c>
      <c r="C54" s="12" t="inlineStr">
        <is>
          <t>Testing &amp; Evaluation</t>
        </is>
      </c>
      <c r="D54" s="12" t="inlineStr">
        <is>
          <t>Expand production-like golden scenarios</t>
        </is>
      </c>
      <c r="E54" s="12" t="inlineStr">
        <is>
          <t>In Progress</t>
        </is>
      </c>
      <c r="F54" s="12" t="inlineStr">
        <is>
          <t>High</t>
        </is>
      </c>
      <c r="G54" s="12" t="str"/>
      <c r="H54" s="30" t="n"/>
      <c r="I54" s="12" t="inlineStr">
        <is>
          <t>Add complex/conflicting/stale/missing evidence.</t>
        </is>
      </c>
    </row>
    <row r="55">
      <c r="A55" s="12" t="n">
        <v>54</v>
      </c>
      <c r="B55" s="12" t="inlineStr">
        <is>
          <t>Phase 5</t>
        </is>
      </c>
      <c r="C55" s="12" t="inlineStr">
        <is>
          <t>Testing &amp; Evaluation</t>
        </is>
      </c>
      <c r="D55" s="12" t="inlineStr">
        <is>
          <t>MCP failure and wrong-cluster safety tests</t>
        </is>
      </c>
      <c r="E55" s="12" t="inlineStr">
        <is>
          <t>In Progress</t>
        </is>
      </c>
      <c r="F55" s="12" t="inlineStr">
        <is>
          <t>Critical</t>
        </is>
      </c>
      <c r="G55" s="12" t="str"/>
      <c r="H55" s="30" t="n"/>
      <c r="I55" s="12" t="inlineStr">
        <is>
          <t>Routing-safety testing incomplete.</t>
        </is>
      </c>
    </row>
    <row r="56">
      <c r="A56" s="12" t="n">
        <v>55</v>
      </c>
      <c r="B56" s="12" t="inlineStr">
        <is>
          <t>Phase 5</t>
        </is>
      </c>
      <c r="C56" s="12" t="inlineStr">
        <is>
          <t>Testing &amp; Evaluation</t>
        </is>
      </c>
      <c r="D56" s="12" t="inlineStr">
        <is>
          <t>LLM-judge evaluation</t>
        </is>
      </c>
      <c r="E56" s="12" t="inlineStr">
        <is>
          <t>Not Started</t>
        </is>
      </c>
      <c r="F56" s="12" t="inlineStr">
        <is>
          <t>Low</t>
        </is>
      </c>
      <c r="G56" s="12" t="str"/>
      <c r="H56" s="30" t="n"/>
      <c r="I56" s="12" t="inlineStr">
        <is>
          <t>Secondary evaluation only.</t>
        </is>
      </c>
    </row>
    <row r="57">
      <c r="A57" s="12" t="n">
        <v>56</v>
      </c>
      <c r="B57" s="12" t="inlineStr">
        <is>
          <t>Phase 5</t>
        </is>
      </c>
      <c r="C57" s="12" t="inlineStr">
        <is>
          <t>Testing &amp; Evaluation</t>
        </is>
      </c>
      <c r="D57" s="12" t="inlineStr">
        <is>
          <t>Regression tests for fixed issues</t>
        </is>
      </c>
      <c r="E57" s="12" t="inlineStr">
        <is>
          <t>In Progress</t>
        </is>
      </c>
      <c r="F57" s="12" t="inlineStr">
        <is>
          <t>High</t>
        </is>
      </c>
      <c r="G57" s="12" t="str"/>
      <c r="H57" s="30" t="n"/>
      <c r="I57" s="12" t="inlineStr">
        <is>
          <t>Continue adding for every fix.</t>
        </is>
      </c>
    </row>
    <row r="58">
      <c r="A58" s="12" t="n">
        <v>57</v>
      </c>
      <c r="B58" s="12" t="inlineStr">
        <is>
          <t>Phase 5</t>
        </is>
      </c>
      <c r="C58" s="12" t="inlineStr">
        <is>
          <t>Testing &amp; Evaluation</t>
        </is>
      </c>
      <c r="D58" s="12" t="inlineStr">
        <is>
          <t>Structured engineer-feedback process</t>
        </is>
      </c>
      <c r="E58" s="12" t="inlineStr">
        <is>
          <t>Deferred</t>
        </is>
      </c>
      <c r="F58" s="12" t="inlineStr">
        <is>
          <t>Low</t>
        </is>
      </c>
      <c r="G58" s="12" t="str"/>
      <c r="H58" s="30" t="n"/>
      <c r="I58" s="12" t="inlineStr">
        <is>
          <t>Phase 2 enhancement.</t>
        </is>
      </c>
    </row>
    <row r="59">
      <c r="A59" s="12" t="n">
        <v>58</v>
      </c>
      <c r="B59" s="12" t="inlineStr">
        <is>
          <t>Phase 6</t>
        </is>
      </c>
      <c r="C59" s="12" t="inlineStr">
        <is>
          <t>Observability &amp; Reliability</t>
        </is>
      </c>
      <c r="D59" s="12" t="inlineStr">
        <is>
          <t>Structured logging</t>
        </is>
      </c>
      <c r="E59" s="12" t="inlineStr">
        <is>
          <t>Completed</t>
        </is>
      </c>
      <c r="F59" s="12" t="inlineStr">
        <is>
          <t>High</t>
        </is>
      </c>
      <c r="G59" s="12" t="str"/>
      <c r="H59" s="30" t="n"/>
      <c r="I59" s="12" t="inlineStr">
        <is>
          <t>Implemented.</t>
        </is>
      </c>
    </row>
    <row r="60">
      <c r="A60" s="12" t="n">
        <v>59</v>
      </c>
      <c r="B60" s="12" t="inlineStr">
        <is>
          <t>Phase 6</t>
        </is>
      </c>
      <c r="C60" s="12" t="inlineStr">
        <is>
          <t>Observability &amp; Reliability</t>
        </is>
      </c>
      <c r="D60" s="12" t="inlineStr">
        <is>
          <t>Distributed tracing foundation</t>
        </is>
      </c>
      <c r="E60" s="12" t="inlineStr">
        <is>
          <t>Completed</t>
        </is>
      </c>
      <c r="F60" s="12" t="inlineStr">
        <is>
          <t>High</t>
        </is>
      </c>
      <c r="G60" s="12" t="str"/>
      <c r="H60" s="30" t="n"/>
      <c r="I60" s="12" t="inlineStr">
        <is>
          <t>Implemented.</t>
        </is>
      </c>
    </row>
    <row r="61">
      <c r="A61" s="12" t="n">
        <v>60</v>
      </c>
      <c r="B61" s="12" t="inlineStr">
        <is>
          <t>Phase 6</t>
        </is>
      </c>
      <c r="C61" s="12" t="inlineStr">
        <is>
          <t>Observability &amp; Reliability</t>
        </is>
      </c>
      <c r="D61" s="12" t="inlineStr">
        <is>
          <t>Investigation/run IDs</t>
        </is>
      </c>
      <c r="E61" s="12" t="inlineStr">
        <is>
          <t>Completed</t>
        </is>
      </c>
      <c r="F61" s="12" t="inlineStr">
        <is>
          <t>High</t>
        </is>
      </c>
      <c r="G61" s="12" t="str"/>
      <c r="H61" s="30" t="n"/>
      <c r="I61" s="12" t="inlineStr">
        <is>
          <t>Implemented.</t>
        </is>
      </c>
    </row>
    <row r="62">
      <c r="A62" s="12" t="n">
        <v>61</v>
      </c>
      <c r="B62" s="12" t="inlineStr">
        <is>
          <t>Phase 6</t>
        </is>
      </c>
      <c r="C62" s="12" t="inlineStr">
        <is>
          <t>Observability &amp; Reliability</t>
        </is>
      </c>
      <c r="D62" s="12" t="inlineStr">
        <is>
          <t>Metrics and alert policies</t>
        </is>
      </c>
      <c r="E62" s="12" t="inlineStr">
        <is>
          <t>Completed</t>
        </is>
      </c>
      <c r="F62" s="12" t="inlineStr">
        <is>
          <t>High</t>
        </is>
      </c>
      <c r="G62" s="12" t="str"/>
      <c r="H62" s="30" t="n"/>
      <c r="I62" s="12" t="inlineStr">
        <is>
          <t>11 metrics and 11 alerts exist.</t>
        </is>
      </c>
    </row>
    <row r="63">
      <c r="A63" s="12" t="n">
        <v>62</v>
      </c>
      <c r="B63" s="12" t="inlineStr">
        <is>
          <t>Phase 6</t>
        </is>
      </c>
      <c r="C63" s="12" t="inlineStr">
        <is>
          <t>Observability &amp; Reliability</t>
        </is>
      </c>
      <c r="D63" s="12" t="inlineStr">
        <is>
          <t>Cloud Trace export restored and verified end-to-end</t>
        </is>
      </c>
      <c r="E63" s="12" t="inlineStr">
        <is>
          <t>Completed</t>
        </is>
      </c>
      <c r="F63" s="12" t="inlineStr">
        <is>
          <t>High</t>
        </is>
      </c>
      <c r="G63" s="12" t="str"/>
      <c r="H63" s="30" t="n"/>
      <c r="I63" s="12" t="inlineStr">
        <is>
          <t>Cloud Trace export restored and verified end-to-end -- 2026-08-13. Three root causes fixed (PR #136, #137): lazy tracer init losing setup race, wrong Cloud Trace hostname, wrong gRPC protocol binding for Cloud Trace. Live proof: run_20260813_222248_ybag -- flush_traces result=True, real trace ada23f5a144e8b327fe6fc51c3a426b4 with 54 correlated spans (outer + all LangGraph nodes + Gemini calls), metadata-only content confirmed. GitHub #130 and #29 closed. NOTE: this covers Cloud Trace ONLY -- the separate Cloud Logging observability-write 403 is NOT fixed by this work, tracked separately as tracker ID 152 / GitHub #139.</t>
        </is>
      </c>
    </row>
    <row r="64">
      <c r="A64" s="12" t="n">
        <v>63</v>
      </c>
      <c r="B64" s="12" t="inlineStr">
        <is>
          <t>Phase 6</t>
        </is>
      </c>
      <c r="C64" s="12" t="inlineStr">
        <is>
          <t>Observability &amp; Reliability</t>
        </is>
      </c>
      <c r="D64" s="12" t="inlineStr">
        <is>
          <t>Operational dashboard</t>
        </is>
      </c>
      <c r="E64" s="12" t="inlineStr">
        <is>
          <t>Not Started</t>
        </is>
      </c>
      <c r="F64" s="12" t="inlineStr">
        <is>
          <t>Medium</t>
        </is>
      </c>
      <c r="G64" s="12" t="str"/>
      <c r="H64" s="30" t="n"/>
      <c r="I64" s="12" t="inlineStr">
        <is>
          <t>Needed for operations.</t>
        </is>
      </c>
    </row>
    <row r="65">
      <c r="A65" s="12" t="n">
        <v>64</v>
      </c>
      <c r="B65" s="12" t="inlineStr">
        <is>
          <t>Phase 6</t>
        </is>
      </c>
      <c r="C65" s="12" t="inlineStr">
        <is>
          <t>Observability &amp; Reliability</t>
        </is>
      </c>
      <c r="D65" s="12" t="inlineStr">
        <is>
          <t>Controlled delivery test for every alert</t>
        </is>
      </c>
      <c r="E65" s="12" t="inlineStr">
        <is>
          <t>Not Started</t>
        </is>
      </c>
      <c r="F65" s="12" t="inlineStr">
        <is>
          <t>High</t>
        </is>
      </c>
      <c r="G65" s="12" t="str"/>
      <c r="H65" s="30" t="n"/>
      <c r="I65" s="12" t="inlineStr">
        <is>
          <t>Configured alerts must be proven.</t>
        </is>
      </c>
    </row>
    <row r="66">
      <c r="A66" s="12" t="n">
        <v>65</v>
      </c>
      <c r="B66" s="12" t="inlineStr">
        <is>
          <t>Phase 6</t>
        </is>
      </c>
      <c r="C66" s="12" t="inlineStr">
        <is>
          <t>Observability &amp; Reliability</t>
        </is>
      </c>
      <c r="D66" s="12" t="inlineStr">
        <is>
          <t>Mitigate managed Reasoning Engine stream timeout / high investigation latency</t>
        </is>
      </c>
      <c r="E66" s="12" t="inlineStr">
        <is>
          <t>Completed</t>
        </is>
      </c>
      <c r="F66" s="12" t="inlineStr">
        <is>
          <t>Critical</t>
        </is>
      </c>
      <c r="G66" s="12" t="str"/>
      <c r="H66" s="30" t="n"/>
      <c r="I66" s="12" t="inlineStr">
        <is>
          <t>RESOLVED 2026-08-15 via native stream_query() (PR #160, merge commit 0a15f93). Deployment: Agent Engine updated in place (Terraform 0 add/1 change/0 destroy, Agent Engine ID 7801582006105538560 unchanged, createTime unchanged, Agent Identity and Agent Gateway attachment preserved). Live E2E run_id run_20260815_121835_mmmq: 315.3s duration (past the original ~300s transport boundary), 34 stream progress events, 5 real GKE Remote MCP tool calls/evidence collected, truthful final RCA returned, no stream-timeout error. Native streaming (--stream-query) is now the supported long-running invocation path. Synchronous query() remains available but keeps its known ~300s managed transport limit. asyncQuery/run_query_job (#156) stays in repo, experimental/Google-blocked, not required for this resolution. Follow-up (separate, does not reopen this): Cloud Trace span-fragmentation regression found during validation, tracked as new issue #161 -- not yet added as its own tracker row, pending approval.</t>
        </is>
      </c>
    </row>
    <row r="67">
      <c r="A67" s="12" t="n">
        <v>66</v>
      </c>
      <c r="B67" s="12" t="inlineStr">
        <is>
          <t>Phase 6</t>
        </is>
      </c>
      <c r="C67" s="12" t="inlineStr">
        <is>
          <t>Observability &amp; Reliability</t>
        </is>
      </c>
      <c r="D67" s="12" t="inlineStr">
        <is>
          <t>Define retry, timeout and backoff behaviour</t>
        </is>
      </c>
      <c r="E67" s="12" t="inlineStr">
        <is>
          <t>In Progress</t>
        </is>
      </c>
      <c r="F67" s="12" t="inlineStr">
        <is>
          <t>Critical</t>
        </is>
      </c>
      <c r="G67" s="12" t="str"/>
      <c r="H67" s="30" t="n"/>
      <c r="I67" s="12" t="inlineStr">
        <is>
          <t>Align client/backend/tool behavior.</t>
        </is>
      </c>
    </row>
    <row r="68">
      <c r="A68" s="12" t="n">
        <v>67</v>
      </c>
      <c r="B68" s="12" t="inlineStr">
        <is>
          <t>Phase 6</t>
        </is>
      </c>
      <c r="C68" s="12" t="inlineStr">
        <is>
          <t>Observability &amp; Reliability</t>
        </is>
      </c>
      <c r="D68" s="12" t="inlineStr">
        <is>
          <t>Define investigation/tool/token/cost limits</t>
        </is>
      </c>
      <c r="E68" s="12" t="inlineStr">
        <is>
          <t>In Progress</t>
        </is>
      </c>
      <c r="F68" s="12" t="inlineStr">
        <is>
          <t>High</t>
        </is>
      </c>
      <c r="G68" s="12" t="str"/>
      <c r="H68" s="30" t="n"/>
      <c r="I68" s="12" t="inlineStr">
        <is>
          <t>Monitoring/token-budget slice DONE 2026-08-12 (PR #102, commit 85030c8). Deployed, live-validated: real MAX_TOKENS_PER_RUN=100000 confirmed on the live engine, real investigation tokens_total correctly metered (1 data point per run, not duplicated across per-node events), synthetic threshold test opened a real alert incident (0.obcxlxk5jaf5). Remaining: removing the inaccurate hardcoded local dollar-cost estimation -- separate, not started. GitHub issue #63 itself is closed (was about a DIFFERENT bug, the Flash/Pro pricing mismatch, already fixed) -- this remaining work has no dedicated GitHub issue of its own yet.</t>
        </is>
      </c>
    </row>
    <row r="69">
      <c r="A69" s="12" t="n">
        <v>68</v>
      </c>
      <c r="B69" s="12" t="inlineStr">
        <is>
          <t>Phase 6</t>
        </is>
      </c>
      <c r="C69" s="12" t="inlineStr">
        <is>
          <t>Observability &amp; Reliability</t>
        </is>
      </c>
      <c r="D69" s="12" t="inlineStr">
        <is>
          <t>Create operational runbooks</t>
        </is>
      </c>
      <c r="E69" s="12" t="inlineStr">
        <is>
          <t>In Progress</t>
        </is>
      </c>
      <c r="F69" s="12" t="inlineStr">
        <is>
          <t>Medium</t>
        </is>
      </c>
      <c r="G69" s="12" t="str"/>
      <c r="H69" s="30" t="n"/>
      <c r="I69" s="12" t="inlineStr">
        <is>
          <t>Needs final procedures.</t>
        </is>
      </c>
    </row>
    <row r="70">
      <c r="A70" s="12" t="n">
        <v>69</v>
      </c>
      <c r="B70" s="12" t="inlineStr">
        <is>
          <t>Phase 7</t>
        </is>
      </c>
      <c r="C70" s="12" t="inlineStr">
        <is>
          <t>Multi-Cluster Scalability</t>
        </is>
      </c>
      <c r="D70" s="12" t="inlineStr">
        <is>
          <t>Multi-cluster registry</t>
        </is>
      </c>
      <c r="E70" s="12" t="inlineStr">
        <is>
          <t>Completed</t>
        </is>
      </c>
      <c r="F70" s="12" t="inlineStr">
        <is>
          <t>Critical</t>
        </is>
      </c>
      <c r="G70" s="12" t="str"/>
      <c r="H70" s="30" t="n"/>
      <c r="I70" s="12" t="inlineStr">
        <is>
          <t>Terraform-managed registry implemented.</t>
        </is>
      </c>
    </row>
    <row r="71">
      <c r="A71" s="12" t="n">
        <v>70</v>
      </c>
      <c r="B71" s="12" t="inlineStr">
        <is>
          <t>Phase 7</t>
        </is>
      </c>
      <c r="C71" s="12" t="inlineStr">
        <is>
          <t>Multi-Cluster Scalability</t>
        </is>
      </c>
      <c r="D71" s="12" t="inlineStr">
        <is>
          <t>Prevent Terraform from removing registered clusters accidentally</t>
        </is>
      </c>
      <c r="E71" s="12" t="inlineStr">
        <is>
          <t>Completed</t>
        </is>
      </c>
      <c r="F71" s="12" t="inlineStr">
        <is>
          <t>Critical</t>
        </is>
      </c>
      <c r="G71" s="12" t="str"/>
      <c r="H71" s="30" t="n"/>
      <c r="I71" s="12" t="inlineStr">
        <is>
          <t>Registry ownership bug fixed.</t>
        </is>
      </c>
    </row>
    <row r="72">
      <c r="A72" s="12" t="n">
        <v>71</v>
      </c>
      <c r="B72" s="12" t="inlineStr">
        <is>
          <t>Phase 7</t>
        </is>
      </c>
      <c r="C72" s="12" t="inlineStr">
        <is>
          <t>Multi-Cluster Scalability</t>
        </is>
      </c>
      <c r="D72" s="12" t="inlineStr">
        <is>
          <t>Deterministic cluster-type routing</t>
        </is>
      </c>
      <c r="E72" s="12" t="inlineStr">
        <is>
          <t>Completed</t>
        </is>
      </c>
      <c r="F72" s="12" t="inlineStr">
        <is>
          <t>Critical</t>
        </is>
      </c>
      <c r="G72" s="12" t="str"/>
      <c r="H72" s="30" t="n"/>
      <c r="I72" s="12" t="inlineStr">
        <is>
          <t>Implemented.</t>
        </is>
      </c>
    </row>
    <row r="73">
      <c r="A73" s="12" t="n">
        <v>72</v>
      </c>
      <c r="B73" s="12" t="inlineStr">
        <is>
          <t>Phase 7</t>
        </is>
      </c>
      <c r="C73" s="12" t="inlineStr">
        <is>
          <t>Multi-Cluster Scalability</t>
        </is>
      </c>
      <c r="D73" s="12" t="inlineStr">
        <is>
          <t>Cluster onboarding/update/removal/rollback workflow</t>
        </is>
      </c>
      <c r="E73" s="12" t="inlineStr">
        <is>
          <t>In Progress</t>
        </is>
      </c>
      <c r="F73" s="12" t="inlineStr">
        <is>
          <t>High</t>
        </is>
      </c>
      <c r="G73" s="12" t="str"/>
      <c r="H73" s="30" t="n"/>
      <c r="I73" s="12" t="inlineStr">
        <is>
          <t>Needs repeatable validation.</t>
        </is>
      </c>
    </row>
    <row r="74">
      <c r="A74" s="12" t="n">
        <v>73</v>
      </c>
      <c r="B74" s="12" t="inlineStr">
        <is>
          <t>Phase 7</t>
        </is>
      </c>
      <c r="C74" s="12" t="inlineStr">
        <is>
          <t>Multi-Cluster Scalability</t>
        </is>
      </c>
      <c r="D74" s="12" t="inlineStr">
        <is>
          <t>Unknown/missing-cluster safe-stop validation</t>
        </is>
      </c>
      <c r="E74" s="12" t="inlineStr">
        <is>
          <t>Completed</t>
        </is>
      </c>
      <c r="F74" s="12" t="inlineStr">
        <is>
          <t>Critical</t>
        </is>
      </c>
      <c r="G74" s="12" t="str"/>
      <c r="H74" s="30" t="n"/>
      <c r="I74" s="12" t="inlineStr">
        <is>
          <t>PR #108 merged (d5fe1b2a), deployed (run 31585553325, engine 7801582006105538560 updated in-place, confirmed not recreated). Live E2E test run_20260812_101219_mbwh: all 7 required checks passed with log-level evidence -- loop_exit_reason=cluster_unresolved, cluster_routing_method=unresolved, zero MCP/tool calls (node sequence proves it), zero memory recall/save, truthful response, no unsupported root cause. Issue #73 closed.</t>
        </is>
      </c>
    </row>
    <row r="75">
      <c r="A75" s="12" t="n">
        <v>74</v>
      </c>
      <c r="B75" s="12" t="inlineStr">
        <is>
          <t>Phase 7</t>
        </is>
      </c>
      <c r="C75" s="12" t="inlineStr">
        <is>
          <t>Multi-Cluster Scalability</t>
        </is>
      </c>
      <c r="D75" s="12" t="inlineStr">
        <is>
          <t>Cross-project IAM for additional clusters</t>
        </is>
      </c>
      <c r="E75" s="12" t="inlineStr">
        <is>
          <t>In Progress</t>
        </is>
      </c>
      <c r="F75" s="12" t="inlineStr">
        <is>
          <t>Critical</t>
        </is>
      </c>
      <c r="G75" s="12" t="str"/>
      <c r="H75" s="30" t="n"/>
      <c r="I75" s="12" t="inlineStr">
        <is>
          <t>Required for production scale.</t>
        </is>
      </c>
    </row>
    <row r="76">
      <c r="A76" s="12" t="n">
        <v>75</v>
      </c>
      <c r="B76" s="12" t="inlineStr">
        <is>
          <t>Phase 7</t>
        </is>
      </c>
      <c r="C76" s="12" t="inlineStr">
        <is>
          <t>Multi-Cluster Scalability</t>
        </is>
      </c>
      <c r="D76" s="12" t="inlineStr">
        <is>
          <t>Namespace and cluster access controls</t>
        </is>
      </c>
      <c r="E76" s="12" t="inlineStr">
        <is>
          <t>In Progress</t>
        </is>
      </c>
      <c r="F76" s="12" t="inlineStr">
        <is>
          <t>High</t>
        </is>
      </c>
      <c r="G76" s="12" t="str"/>
      <c r="H76" s="30" t="n"/>
      <c r="I76" s="12" t="inlineStr">
        <is>
          <t>Needs final isolation model.</t>
        </is>
      </c>
    </row>
    <row r="77">
      <c r="A77" s="12" t="n">
        <v>76</v>
      </c>
      <c r="B77" s="12" t="inlineStr">
        <is>
          <t>Phase 7</t>
        </is>
      </c>
      <c r="C77" s="12" t="inlineStr">
        <is>
          <t>Multi-Cluster Scalability</t>
        </is>
      </c>
      <c r="D77" s="12" t="inlineStr">
        <is>
          <t>Concurrency/quota/failure-isolation testing</t>
        </is>
      </c>
      <c r="E77" s="12" t="inlineStr">
        <is>
          <t>Not Started</t>
        </is>
      </c>
      <c r="F77" s="12" t="inlineStr">
        <is>
          <t>High</t>
        </is>
      </c>
      <c r="G77" s="12" t="str"/>
      <c r="H77" s="30" t="n"/>
      <c r="I77" s="12" t="inlineStr">
        <is>
          <t>Scale testing remains.</t>
        </is>
      </c>
    </row>
    <row r="78">
      <c r="A78" s="12" t="n">
        <v>77</v>
      </c>
      <c r="B78" s="12" t="inlineStr">
        <is>
          <t>Phase 7</t>
        </is>
      </c>
      <c r="C78" s="12" t="inlineStr">
        <is>
          <t>Multi-Cluster Scalability</t>
        </is>
      </c>
      <c r="D78" s="12" t="inlineStr">
        <is>
          <t>Repeatable multi-cluster onboarding documentation</t>
        </is>
      </c>
      <c r="E78" s="12" t="inlineStr">
        <is>
          <t>In Progress</t>
        </is>
      </c>
      <c r="F78" s="12" t="inlineStr">
        <is>
          <t>Medium</t>
        </is>
      </c>
      <c r="G78" s="12" t="str"/>
      <c r="H78" s="30" t="n"/>
      <c r="I78" s="12" t="inlineStr">
        <is>
          <t>Runbook remains.</t>
        </is>
      </c>
    </row>
    <row r="79">
      <c r="A79" s="12" t="n">
        <v>78</v>
      </c>
      <c r="B79" s="12" t="inlineStr">
        <is>
          <t>Phase 8</t>
        </is>
      </c>
      <c r="C79" s="12" t="inlineStr">
        <is>
          <t>MCP Tool Architecture</t>
        </is>
      </c>
      <c r="D79" s="12" t="inlineStr">
        <is>
          <t>GKE Remote MCP primary source</t>
        </is>
      </c>
      <c r="E79" s="12" t="inlineStr">
        <is>
          <t>Completed</t>
        </is>
      </c>
      <c r="F79" s="12" t="inlineStr">
        <is>
          <t>Critical</t>
        </is>
      </c>
      <c r="G79" s="12" t="str"/>
      <c r="H79" s="30" t="n"/>
      <c r="I79" s="12" t="inlineStr">
        <is>
          <t>Working.</t>
        </is>
      </c>
    </row>
    <row r="80">
      <c r="A80" s="12" t="n">
        <v>79</v>
      </c>
      <c r="B80" s="12" t="inlineStr">
        <is>
          <t>Phase 8</t>
        </is>
      </c>
      <c r="C80" s="12" t="inlineStr">
        <is>
          <t>MCP Tool Architecture</t>
        </is>
      </c>
      <c r="D80" s="12" t="inlineStr">
        <is>
          <t>MCP registry and deterministic routing</t>
        </is>
      </c>
      <c r="E80" s="12" t="inlineStr">
        <is>
          <t>Completed</t>
        </is>
      </c>
      <c r="F80" s="12" t="inlineStr">
        <is>
          <t>Critical</t>
        </is>
      </c>
      <c r="G80" s="12" t="str"/>
      <c r="H80" s="30" t="n"/>
      <c r="I80" s="12" t="inlineStr">
        <is>
          <t>Implemented.</t>
        </is>
      </c>
    </row>
    <row r="81">
      <c r="A81" s="12" t="n">
        <v>80</v>
      </c>
      <c r="B81" s="12" t="inlineStr">
        <is>
          <t>Phase 8</t>
        </is>
      </c>
      <c r="C81" s="12" t="inlineStr">
        <is>
          <t>MCP Tool Architecture</t>
        </is>
      </c>
      <c r="D81" s="12" t="inlineStr">
        <is>
          <t>Custom read-only Kubernetes MCP code</t>
        </is>
      </c>
      <c r="E81" s="12" t="inlineStr">
        <is>
          <t>Completed</t>
        </is>
      </c>
      <c r="F81" s="12" t="inlineStr">
        <is>
          <t>High</t>
        </is>
      </c>
      <c r="G81" s="12" t="str"/>
      <c r="H81" s="30" t="n"/>
      <c r="I81" s="12" t="inlineStr">
        <is>
          <t>Code exists with mutation guards.</t>
        </is>
      </c>
    </row>
    <row r="82">
      <c r="A82" s="12" t="n">
        <v>81</v>
      </c>
      <c r="B82" s="12" t="inlineStr">
        <is>
          <t>Phase 8</t>
        </is>
      </c>
      <c r="C82" s="12" t="inlineStr">
        <is>
          <t>MCP Tool Architecture</t>
        </is>
      </c>
      <c r="D82" s="12" t="inlineStr">
        <is>
          <t>Source-agnostic MCP interface</t>
        </is>
      </c>
      <c r="E82" s="12" t="inlineStr">
        <is>
          <t>In Progress</t>
        </is>
      </c>
      <c r="F82" s="12" t="inlineStr">
        <is>
          <t>High</t>
        </is>
      </c>
      <c r="G82" s="12" t="str"/>
      <c r="H82" s="30" t="n"/>
      <c r="I82" s="12" t="inlineStr">
        <is>
          <t>Needs stronger common abstraction.</t>
        </is>
      </c>
    </row>
    <row r="83">
      <c r="A83" s="12" t="n">
        <v>82</v>
      </c>
      <c r="B83" s="12" t="inlineStr">
        <is>
          <t>Phase 8</t>
        </is>
      </c>
      <c r="C83" s="12" t="inlineStr">
        <is>
          <t>MCP Tool Architecture</t>
        </is>
      </c>
      <c r="D83" s="12" t="inlineStr">
        <is>
          <t>Normalize evidence returned by MCP servers</t>
        </is>
      </c>
      <c r="E83" s="12" t="inlineStr">
        <is>
          <t>In Progress</t>
        </is>
      </c>
      <c r="F83" s="12" t="inlineStr">
        <is>
          <t>High</t>
        </is>
      </c>
      <c r="G83" s="12" t="str"/>
      <c r="H83" s="30" t="n"/>
      <c r="I83" s="12" t="inlineStr">
        <is>
          <t>Common contract not fully generalized.</t>
        </is>
      </c>
    </row>
    <row r="84">
      <c r="A84" s="12" t="n">
        <v>83</v>
      </c>
      <c r="B84" s="12" t="inlineStr">
        <is>
          <t>Phase 8</t>
        </is>
      </c>
      <c r="C84" s="12" t="inlineStr">
        <is>
          <t>MCP Tool Architecture</t>
        </is>
      </c>
      <c r="D84" s="12" t="inlineStr">
        <is>
          <t>Repeatable MCP-server onboarding process</t>
        </is>
      </c>
      <c r="E84" s="12" t="inlineStr">
        <is>
          <t>In Progress</t>
        </is>
      </c>
      <c r="F84" s="12" t="inlineStr">
        <is>
          <t>Medium</t>
        </is>
      </c>
      <c r="G84" s="12" t="str"/>
      <c r="H84" s="30" t="n"/>
      <c r="I84" s="12" t="inlineStr">
        <is>
          <t>Needs documented contract.</t>
        </is>
      </c>
    </row>
    <row r="85">
      <c r="A85" s="12" t="n">
        <v>84</v>
      </c>
      <c r="B85" s="12" t="inlineStr">
        <is>
          <t>Phase 8</t>
        </is>
      </c>
      <c r="C85" s="12" t="inlineStr">
        <is>
          <t>MCP Tool Architecture</t>
        </is>
      </c>
      <c r="D85" s="12" t="inlineStr">
        <is>
          <t>Output trimming and evidence validation</t>
        </is>
      </c>
      <c r="E85" s="12" t="inlineStr">
        <is>
          <t>In Progress</t>
        </is>
      </c>
      <c r="F85" s="12" t="inlineStr">
        <is>
          <t>High</t>
        </is>
      </c>
      <c r="G85" s="12" t="str"/>
      <c r="H85" s="30" t="n"/>
      <c r="I85" s="12" t="inlineStr">
        <is>
          <t>Important for cost and grounding.</t>
        </is>
      </c>
    </row>
    <row r="86">
      <c r="A86" s="12" t="n">
        <v>85</v>
      </c>
      <c r="B86" s="12" t="inlineStr">
        <is>
          <t>Phase 8</t>
        </is>
      </c>
      <c r="C86" s="12" t="inlineStr">
        <is>
          <t>MCP Tool Architecture</t>
        </is>
      </c>
      <c r="D86" s="12" t="inlineStr">
        <is>
          <t>Timeout/retry/rate-limit/audit requirements</t>
        </is>
      </c>
      <c r="E86" s="12" t="inlineStr">
        <is>
          <t>In Progress</t>
        </is>
      </c>
      <c r="F86" s="12" t="inlineStr">
        <is>
          <t>High</t>
        </is>
      </c>
      <c r="G86" s="12" t="str"/>
      <c r="H86" s="30" t="n"/>
      <c r="I86" s="12" t="inlineStr">
        <is>
          <t>Needs production contract.</t>
        </is>
      </c>
    </row>
    <row r="87">
      <c r="A87" s="12" t="n">
        <v>86</v>
      </c>
      <c r="B87" s="12" t="inlineStr">
        <is>
          <t>Phase 8</t>
        </is>
      </c>
      <c r="C87" s="12" t="inlineStr">
        <is>
          <t>MCP Tool Architecture</t>
        </is>
      </c>
      <c r="D87" s="12" t="inlineStr">
        <is>
          <t>Deploy Custom Kubernetes MCP in cloud</t>
        </is>
      </c>
      <c r="E87" s="12" t="inlineStr">
        <is>
          <t>Blocked</t>
        </is>
      </c>
      <c r="F87" s="12" t="inlineStr">
        <is>
          <t>Critical</t>
        </is>
      </c>
      <c r="G87" s="12" t="str"/>
      <c r="H87" s="30" t="n"/>
      <c r="I87" s="12" t="inlineStr">
        <is>
          <t>Required for non-GKE path.</t>
        </is>
      </c>
    </row>
    <row r="88">
      <c r="A88" s="12" t="n">
        <v>87</v>
      </c>
      <c r="B88" s="12" t="inlineStr">
        <is>
          <t>Phase 8</t>
        </is>
      </c>
      <c r="C88" s="12" t="inlineStr">
        <is>
          <t>MCP Tool Architecture</t>
        </is>
      </c>
      <c r="D88" s="12" t="inlineStr">
        <is>
          <t>Prevent arbitrary shell/write operations</t>
        </is>
      </c>
      <c r="E88" s="12" t="inlineStr">
        <is>
          <t>Completed</t>
        </is>
      </c>
      <c r="F88" s="12" t="inlineStr">
        <is>
          <t>Critical</t>
        </is>
      </c>
      <c r="G88" s="12" t="str"/>
      <c r="H88" s="30" t="n"/>
      <c r="I88" s="12" t="inlineStr">
        <is>
          <t>Read-only controls exist.</t>
        </is>
      </c>
    </row>
    <row r="89">
      <c r="A89" s="12" t="n">
        <v>88</v>
      </c>
      <c r="B89" s="12" t="inlineStr">
        <is>
          <t>Phase 9</t>
        </is>
      </c>
      <c r="C89" s="12" t="inlineStr">
        <is>
          <t>Cost &amp; Performance</t>
        </is>
      </c>
      <c r="D89" s="12" t="inlineStr">
        <is>
          <t>Detailed token telemetry</t>
        </is>
      </c>
      <c r="E89" s="12" t="inlineStr">
        <is>
          <t>Completed</t>
        </is>
      </c>
      <c r="F89" s="12" t="inlineStr">
        <is>
          <t>High</t>
        </is>
      </c>
      <c r="G89" s="12" t="str"/>
      <c r="H89" s="30" t="n"/>
      <c r="I89" s="12" t="inlineStr">
        <is>
          <t>Per-call and per-run telemetry exists.</t>
        </is>
      </c>
    </row>
    <row r="90">
      <c r="A90" s="12" t="n">
        <v>89</v>
      </c>
      <c r="B90" s="12" t="inlineStr">
        <is>
          <t>Phase 9</t>
        </is>
      </c>
      <c r="C90" s="12" t="inlineStr">
        <is>
          <t>Cost &amp; Performance</t>
        </is>
      </c>
      <c r="D90" s="12" t="inlineStr">
        <is>
          <t>Measure investigation cost and latency</t>
        </is>
      </c>
      <c r="E90" s="12" t="inlineStr">
        <is>
          <t>In Progress</t>
        </is>
      </c>
      <c r="F90" s="12" t="inlineStr">
        <is>
          <t>High</t>
        </is>
      </c>
      <c r="G90" s="12" t="str"/>
      <c r="H90" s="30" t="n"/>
      <c r="I90" s="12" t="inlineStr">
        <is>
          <t>Latency regression currently significant.</t>
        </is>
      </c>
    </row>
    <row r="91">
      <c r="A91" s="12" t="n">
        <v>90</v>
      </c>
      <c r="B91" s="12" t="inlineStr">
        <is>
          <t>Phase 9</t>
        </is>
      </c>
      <c r="C91" s="12" t="inlineStr">
        <is>
          <t>Cost &amp; Performance</t>
        </is>
      </c>
      <c r="D91" s="12" t="inlineStr">
        <is>
          <t>Reduce unnecessary investigation loops</t>
        </is>
      </c>
      <c r="E91" s="12" t="inlineStr">
        <is>
          <t>In Progress</t>
        </is>
      </c>
      <c r="F91" s="12" t="inlineStr">
        <is>
          <t>High</t>
        </is>
      </c>
      <c r="G91" s="12" t="str"/>
      <c r="H91" s="30" t="n"/>
      <c r="I91" s="12" t="inlineStr">
        <is>
          <t>Part of dynamic investigation hardening.</t>
        </is>
      </c>
    </row>
    <row r="92">
      <c r="A92" s="12" t="n">
        <v>91</v>
      </c>
      <c r="B92" s="12" t="inlineStr">
        <is>
          <t>Phase 9</t>
        </is>
      </c>
      <c r="C92" s="12" t="inlineStr">
        <is>
          <t>Cost &amp; Performance</t>
        </is>
      </c>
      <c r="D92" s="12" t="inlineStr">
        <is>
          <t>Trim and deduplicate evidence before model calls</t>
        </is>
      </c>
      <c r="E92" s="12" t="inlineStr">
        <is>
          <t>In Progress</t>
        </is>
      </c>
      <c r="F92" s="12" t="inlineStr">
        <is>
          <t>High</t>
        </is>
      </c>
      <c r="G92" s="12" t="str"/>
      <c r="H92" s="30" t="n"/>
      <c r="I92" s="12" t="inlineStr">
        <is>
          <t>Further optimization needed.</t>
        </is>
      </c>
    </row>
    <row r="93">
      <c r="A93" s="12" t="n">
        <v>92</v>
      </c>
      <c r="B93" s="12" t="inlineStr">
        <is>
          <t>Phase 9</t>
        </is>
      </c>
      <c r="C93" s="12" t="inlineStr">
        <is>
          <t>Cost &amp; Performance</t>
        </is>
      </c>
      <c r="D93" s="12" t="inlineStr">
        <is>
          <t>Per-investigation token/cost budgets</t>
        </is>
      </c>
      <c r="E93" s="12" t="inlineStr">
        <is>
          <t>In Progress</t>
        </is>
      </c>
      <c r="F93" s="12" t="inlineStr">
        <is>
          <t>High</t>
        </is>
      </c>
      <c r="G93" s="12" t="str"/>
      <c r="H93" s="30" t="n"/>
      <c r="I93" s="12" t="inlineStr">
        <is>
          <t>Guardrails not finalized.</t>
        </is>
      </c>
    </row>
    <row r="94">
      <c r="A94" s="12" t="n">
        <v>93</v>
      </c>
      <c r="B94" s="12" t="inlineStr">
        <is>
          <t>Phase 9</t>
        </is>
      </c>
      <c r="C94" s="12" t="inlineStr">
        <is>
          <t>Cost &amp; Performance</t>
        </is>
      </c>
      <c r="D94" s="12" t="inlineStr">
        <is>
          <t>Review model selection per workflow stage</t>
        </is>
      </c>
      <c r="E94" s="12" t="inlineStr">
        <is>
          <t>In Progress</t>
        </is>
      </c>
      <c r="F94" s="12" t="inlineStr">
        <is>
          <t>Medium</t>
        </is>
      </c>
      <c r="G94" s="12" t="str"/>
      <c r="H94" s="30" t="n"/>
      <c r="I94" s="12" t="inlineStr">
        <is>
          <t>Provider-neutral adapter exists.</t>
        </is>
      </c>
    </row>
    <row r="95">
      <c r="A95" s="12" t="n">
        <v>94</v>
      </c>
      <c r="B95" s="12" t="inlineStr">
        <is>
          <t>Phase 9</t>
        </is>
      </c>
      <c r="C95" s="12" t="inlineStr">
        <is>
          <t>Cost &amp; Performance</t>
        </is>
      </c>
      <c r="D95" s="12" t="inlineStr">
        <is>
          <t>Advanced caching and dynamic pricing</t>
        </is>
      </c>
      <c r="E95" s="12" t="inlineStr">
        <is>
          <t>Deferred</t>
        </is>
      </c>
      <c r="F95" s="12" t="inlineStr">
        <is>
          <t>Low</t>
        </is>
      </c>
      <c r="G95" s="12" t="str"/>
      <c r="H95" s="30" t="n"/>
      <c r="I95" s="12" t="inlineStr">
        <is>
          <t>Phase 2 optimization.</t>
        </is>
      </c>
    </row>
    <row r="96">
      <c r="A96" s="12" t="n">
        <v>95</v>
      </c>
      <c r="B96" s="12" t="inlineStr">
        <is>
          <t>Phase 10</t>
        </is>
      </c>
      <c r="C96" s="12" t="inlineStr">
        <is>
          <t>PagerDuty Integration</t>
        </is>
      </c>
      <c r="D96" s="12" t="inlineStr">
        <is>
          <t>Design PagerDuty-triggered workflow</t>
        </is>
      </c>
      <c r="E96" s="12" t="inlineStr">
        <is>
          <t>Not Started</t>
        </is>
      </c>
      <c r="F96" s="12" t="inlineStr">
        <is>
          <t>Critical</t>
        </is>
      </c>
      <c r="G96" s="12" t="str"/>
      <c r="H96" s="30" t="n"/>
      <c r="I96" s="12" t="inlineStr">
        <is>
          <t>Required Phase 1 integration.</t>
        </is>
      </c>
    </row>
    <row r="97">
      <c r="A97" s="12" t="n">
        <v>96</v>
      </c>
      <c r="B97" s="12" t="inlineStr">
        <is>
          <t>Phase 10</t>
        </is>
      </c>
      <c r="C97" s="12" t="inlineStr">
        <is>
          <t>PagerDuty Integration</t>
        </is>
      </c>
      <c r="D97" s="12" t="inlineStr">
        <is>
          <t>Authenticated Cloud Run webhook receiver</t>
        </is>
      </c>
      <c r="E97" s="12" t="inlineStr">
        <is>
          <t>Not Started</t>
        </is>
      </c>
      <c r="F97" s="12" t="inlineStr">
        <is>
          <t>Critical</t>
        </is>
      </c>
      <c r="G97" s="12" t="str"/>
      <c r="H97" s="30" t="n"/>
      <c r="I97" s="12" t="inlineStr">
        <is>
          <t>No implementation yet.</t>
        </is>
      </c>
    </row>
    <row r="98">
      <c r="A98" s="12" t="n">
        <v>97</v>
      </c>
      <c r="B98" s="12" t="inlineStr">
        <is>
          <t>Phase 10</t>
        </is>
      </c>
      <c r="C98" s="12" t="inlineStr">
        <is>
          <t>PagerDuty Integration</t>
        </is>
      </c>
      <c r="D98" s="12" t="inlineStr">
        <is>
          <t>Pub/Sub buffering and investigation workers</t>
        </is>
      </c>
      <c r="E98" s="12" t="inlineStr">
        <is>
          <t>Not Started</t>
        </is>
      </c>
      <c r="F98" s="12" t="inlineStr">
        <is>
          <t>High</t>
        </is>
      </c>
      <c r="G98" s="12" t="str"/>
      <c r="H98" s="30" t="n"/>
      <c r="I98" s="12" t="inlineStr">
        <is>
          <t>Planned scalable path.</t>
        </is>
      </c>
    </row>
    <row r="99">
      <c r="A99" s="12" t="n">
        <v>98</v>
      </c>
      <c r="B99" s="12" t="inlineStr">
        <is>
          <t>Phase 10</t>
        </is>
      </c>
      <c r="C99" s="12" t="inlineStr">
        <is>
          <t>PagerDuty Integration</t>
        </is>
      </c>
      <c r="D99" s="12" t="inlineStr">
        <is>
          <t>Webhook verification and replay protection</t>
        </is>
      </c>
      <c r="E99" s="12" t="inlineStr">
        <is>
          <t>Not Started</t>
        </is>
      </c>
      <c r="F99" s="12" t="inlineStr">
        <is>
          <t>Critical</t>
        </is>
      </c>
      <c r="G99" s="12" t="str"/>
      <c r="H99" s="30" t="n"/>
      <c r="I99" s="12" t="inlineStr">
        <is>
          <t>Security requirement.</t>
        </is>
      </c>
    </row>
    <row r="100">
      <c r="A100" s="12" t="n">
        <v>99</v>
      </c>
      <c r="B100" s="12" t="inlineStr">
        <is>
          <t>Phase 10</t>
        </is>
      </c>
      <c r="C100" s="12" t="inlineStr">
        <is>
          <t>PagerDuty Integration</t>
        </is>
      </c>
      <c r="D100" s="12" t="inlineStr">
        <is>
          <t>Incident deduplication and idempotency</t>
        </is>
      </c>
      <c r="E100" s="12" t="inlineStr">
        <is>
          <t>Not Started</t>
        </is>
      </c>
      <c r="F100" s="12" t="inlineStr">
        <is>
          <t>Critical</t>
        </is>
      </c>
      <c r="G100" s="12" t="str"/>
      <c r="H100" s="30" t="n"/>
      <c r="I100" s="12" t="inlineStr">
        <is>
          <t>Production requirement.</t>
        </is>
      </c>
    </row>
    <row r="101">
      <c r="A101" s="12" t="n">
        <v>100</v>
      </c>
      <c r="B101" s="12" t="inlineStr">
        <is>
          <t>Phase 10</t>
        </is>
      </c>
      <c r="C101" s="12" t="inlineStr">
        <is>
          <t>PagerDuty Integration</t>
        </is>
      </c>
      <c r="D101" s="12" t="inlineStr">
        <is>
          <t>Trigger read-only investigation from incident</t>
        </is>
      </c>
      <c r="E101" s="12" t="inlineStr">
        <is>
          <t>Not Started</t>
        </is>
      </c>
      <c r="F101" s="12" t="inlineStr">
        <is>
          <t>Critical</t>
        </is>
      </c>
      <c r="G101" s="12" t="str"/>
      <c r="H101" s="30" t="n"/>
      <c r="I101" s="12" t="inlineStr">
        <is>
          <t>Core integration goal.</t>
        </is>
      </c>
    </row>
    <row r="102">
      <c r="A102" s="12" t="n">
        <v>101</v>
      </c>
      <c r="B102" s="12" t="inlineStr">
        <is>
          <t>Phase 10</t>
        </is>
      </c>
      <c r="C102" s="12" t="inlineStr">
        <is>
          <t>PagerDuty Integration</t>
        </is>
      </c>
      <c r="D102" s="12" t="inlineStr">
        <is>
          <t>Post RCA draft back to PagerDuty</t>
        </is>
      </c>
      <c r="E102" s="12" t="inlineStr">
        <is>
          <t>Not Started</t>
        </is>
      </c>
      <c r="F102" s="12" t="inlineStr">
        <is>
          <t>High</t>
        </is>
      </c>
      <c r="G102" s="12" t="str"/>
      <c r="H102" s="30" t="n"/>
      <c r="I102" s="12" t="inlineStr">
        <is>
          <t>Include evidence/confidence/unknowns/next checks.</t>
        </is>
      </c>
    </row>
    <row r="103">
      <c r="A103" s="12" t="n">
        <v>102</v>
      </c>
      <c r="B103" s="12" t="inlineStr">
        <is>
          <t>Phase 11</t>
        </is>
      </c>
      <c r="C103" s="12" t="inlineStr">
        <is>
          <t>Additional MCP Sources</t>
        </is>
      </c>
      <c r="D103" s="12" t="inlineStr">
        <is>
          <t>Prometheus integration</t>
        </is>
      </c>
      <c r="E103" s="12" t="inlineStr">
        <is>
          <t>Not Started</t>
        </is>
      </c>
      <c r="F103" s="12" t="inlineStr">
        <is>
          <t>Low</t>
        </is>
      </c>
      <c r="G103" s="12" t="str"/>
      <c r="H103" s="30" t="n"/>
      <c r="I103" s="12" t="inlineStr">
        <is>
          <t>Future phase.</t>
        </is>
      </c>
    </row>
    <row r="104">
      <c r="A104" s="12" t="n">
        <v>103</v>
      </c>
      <c r="B104" s="12" t="inlineStr">
        <is>
          <t>Phase 11</t>
        </is>
      </c>
      <c r="C104" s="12" t="inlineStr">
        <is>
          <t>Additional MCP Sources</t>
        </is>
      </c>
      <c r="D104" s="12" t="inlineStr">
        <is>
          <t>Grafana integration</t>
        </is>
      </c>
      <c r="E104" s="12" t="inlineStr">
        <is>
          <t>Not Started</t>
        </is>
      </c>
      <c r="F104" s="12" t="inlineStr">
        <is>
          <t>Low</t>
        </is>
      </c>
      <c r="G104" s="12" t="str"/>
      <c r="H104" s="30" t="n"/>
      <c r="I104" s="12" t="inlineStr">
        <is>
          <t>Future phase.</t>
        </is>
      </c>
    </row>
    <row r="105">
      <c r="A105" s="12" t="n">
        <v>104</v>
      </c>
      <c r="B105" s="12" t="inlineStr">
        <is>
          <t>Phase 11</t>
        </is>
      </c>
      <c r="C105" s="12" t="inlineStr">
        <is>
          <t>Additional MCP Sources</t>
        </is>
      </c>
      <c r="D105" s="12" t="inlineStr">
        <is>
          <t>Elastic / Elasticsearch integration</t>
        </is>
      </c>
      <c r="E105" s="12" t="inlineStr">
        <is>
          <t>Not Started</t>
        </is>
      </c>
      <c r="F105" s="12" t="inlineStr">
        <is>
          <t>Low</t>
        </is>
      </c>
      <c r="G105" s="12" t="str"/>
      <c r="H105" s="30" t="n"/>
      <c r="I105" s="12" t="inlineStr">
        <is>
          <t>Future phase.</t>
        </is>
      </c>
    </row>
    <row r="106">
      <c r="A106" s="12" t="n">
        <v>105</v>
      </c>
      <c r="B106" s="12" t="inlineStr">
        <is>
          <t>Phase 11</t>
        </is>
      </c>
      <c r="C106" s="12" t="inlineStr">
        <is>
          <t>Additional MCP Sources</t>
        </is>
      </c>
      <c r="D106" s="12" t="inlineStr">
        <is>
          <t>Cloud Logging integration</t>
        </is>
      </c>
      <c r="E106" s="12" t="inlineStr">
        <is>
          <t>Not Started</t>
        </is>
      </c>
      <c r="F106" s="12" t="inlineStr">
        <is>
          <t>Medium</t>
        </is>
      </c>
      <c r="G106" s="12" t="str"/>
      <c r="H106" s="30" t="n"/>
      <c r="I106" s="12" t="inlineStr">
        <is>
          <t>Future evidence source.</t>
        </is>
      </c>
    </row>
    <row r="107">
      <c r="A107" s="12" t="n">
        <v>106</v>
      </c>
      <c r="B107" s="12" t="inlineStr">
        <is>
          <t>Phase 11</t>
        </is>
      </c>
      <c r="C107" s="12" t="inlineStr">
        <is>
          <t>Additional MCP Sources</t>
        </is>
      </c>
      <c r="D107" s="12" t="inlineStr">
        <is>
          <t>Confluence/runbook integration</t>
        </is>
      </c>
      <c r="E107" s="12" t="inlineStr">
        <is>
          <t>Not Started</t>
        </is>
      </c>
      <c r="F107" s="12" t="inlineStr">
        <is>
          <t>Low</t>
        </is>
      </c>
      <c r="G107" s="12" t="str"/>
      <c r="H107" s="30" t="n"/>
      <c r="I107" s="12" t="inlineStr">
        <is>
          <t>Future phase.</t>
        </is>
      </c>
    </row>
    <row r="108">
      <c r="A108" s="12" t="n">
        <v>107</v>
      </c>
      <c r="B108" s="12" t="inlineStr">
        <is>
          <t>Phase 11</t>
        </is>
      </c>
      <c r="C108" s="12" t="inlineStr">
        <is>
          <t>Additional MCP Sources</t>
        </is>
      </c>
      <c r="D108" s="12" t="inlineStr">
        <is>
          <t>GitHub integration</t>
        </is>
      </c>
      <c r="E108" s="12" t="inlineStr">
        <is>
          <t>Not Started</t>
        </is>
      </c>
      <c r="F108" s="12" t="inlineStr">
        <is>
          <t>Low</t>
        </is>
      </c>
      <c r="G108" s="12" t="str"/>
      <c r="H108" s="30" t="n"/>
      <c r="I108" s="12" t="inlineStr">
        <is>
          <t>Future phase.</t>
        </is>
      </c>
    </row>
    <row r="109">
      <c r="A109" s="12" t="n">
        <v>108</v>
      </c>
      <c r="B109" s="12" t="inlineStr">
        <is>
          <t>Phase 11</t>
        </is>
      </c>
      <c r="C109" s="12" t="inlineStr">
        <is>
          <t>Additional MCP Sources</t>
        </is>
      </c>
      <c r="D109" s="12" t="inlineStr">
        <is>
          <t>Normalized traceable evidence for every source</t>
        </is>
      </c>
      <c r="E109" s="12" t="inlineStr">
        <is>
          <t>Not Started</t>
        </is>
      </c>
      <c r="F109" s="12" t="inlineStr">
        <is>
          <t>High</t>
        </is>
      </c>
      <c r="G109" s="12" t="str"/>
      <c r="H109" s="30" t="n"/>
      <c r="I109" s="12" t="inlineStr">
        <is>
          <t>Depends on MCP abstraction.</t>
        </is>
      </c>
    </row>
    <row r="110">
      <c r="A110" s="12" t="n">
        <v>109</v>
      </c>
      <c r="B110" s="12" t="inlineStr">
        <is>
          <t>Phase 12</t>
        </is>
      </c>
      <c r="C110" s="12" t="inlineStr">
        <is>
          <t>On-Premises Kubernetes</t>
        </is>
      </c>
      <c r="D110" s="12" t="inlineStr">
        <is>
          <t>Validate Fleet / Connect Gateway concept</t>
        </is>
      </c>
      <c r="E110" s="12" t="inlineStr">
        <is>
          <t>In Progress</t>
        </is>
      </c>
      <c r="F110" s="12" t="inlineStr">
        <is>
          <t>High</t>
        </is>
      </c>
      <c r="G110" s="12" t="str"/>
      <c r="H110" s="30" t="n"/>
      <c r="I110" s="12" t="inlineStr">
        <is>
          <t>Manual prototype/concept work exists.</t>
        </is>
      </c>
    </row>
    <row r="111">
      <c r="A111" s="12" t="n">
        <v>110</v>
      </c>
      <c r="B111" s="12" t="inlineStr">
        <is>
          <t>Phase 12</t>
        </is>
      </c>
      <c r="C111" s="12" t="inlineStr">
        <is>
          <t>On-Premises Kubernetes</t>
        </is>
      </c>
      <c r="D111" s="12" t="inlineStr">
        <is>
          <t>Custom MCP → Connect Gateway production path</t>
        </is>
      </c>
      <c r="E111" s="12" t="inlineStr">
        <is>
          <t>Not Started</t>
        </is>
      </c>
      <c r="F111" s="12" t="inlineStr">
        <is>
          <t>Critical</t>
        </is>
      </c>
      <c r="G111" s="12" t="str"/>
      <c r="H111" s="30" t="n"/>
      <c r="I111" s="12" t="inlineStr">
        <is>
          <t>Production path not proven.</t>
        </is>
      </c>
    </row>
    <row r="112">
      <c r="A112" s="12" t="n">
        <v>111</v>
      </c>
      <c r="B112" s="12" t="inlineStr">
        <is>
          <t>Phase 12</t>
        </is>
      </c>
      <c r="C112" s="12" t="inlineStr">
        <is>
          <t>On-Premises Kubernetes</t>
        </is>
      </c>
      <c r="D112" s="12" t="inlineStr">
        <is>
          <t>Validate supported agent-authentication model</t>
        </is>
      </c>
      <c r="E112" s="12" t="inlineStr">
        <is>
          <t>Not Started</t>
        </is>
      </c>
      <c r="F112" s="12" t="inlineStr">
        <is>
          <t>High</t>
        </is>
      </c>
      <c r="G112" s="12" t="str"/>
      <c r="H112" s="30" t="n"/>
      <c r="I112" s="12" t="inlineStr">
        <is>
          <t>Need short-lived supported auth.</t>
        </is>
      </c>
    </row>
    <row r="113">
      <c r="A113" s="12" t="n">
        <v>112</v>
      </c>
      <c r="B113" s="12" t="inlineStr">
        <is>
          <t>Phase 12</t>
        </is>
      </c>
      <c r="C113" s="12" t="inlineStr">
        <is>
          <t>On-Premises Kubernetes</t>
        </is>
      </c>
      <c r="D113" s="12" t="inlineStr">
        <is>
          <t>Validate IAM and Kubernetes RBAC</t>
        </is>
      </c>
      <c r="E113" s="12" t="inlineStr">
        <is>
          <t>Not Started</t>
        </is>
      </c>
      <c r="F113" s="12" t="inlineStr">
        <is>
          <t>Critical</t>
        </is>
      </c>
      <c r="G113" s="12" t="str"/>
      <c r="H113" s="30" t="n"/>
      <c r="I113" s="12" t="inlineStr">
        <is>
          <t>Production security requirement.</t>
        </is>
      </c>
    </row>
    <row r="114">
      <c r="A114" s="12" t="n">
        <v>113</v>
      </c>
      <c r="B114" s="12" t="inlineStr">
        <is>
          <t>Phase 12</t>
        </is>
      </c>
      <c r="C114" s="12" t="inlineStr">
        <is>
          <t>On-Premises Kubernetes</t>
        </is>
      </c>
      <c r="D114" s="12" t="inlineStr">
        <is>
          <t>Test read-only access to real on-prem cluster</t>
        </is>
      </c>
      <c r="E114" s="12" t="inlineStr">
        <is>
          <t>Not Started</t>
        </is>
      </c>
      <c r="F114" s="12" t="inlineStr">
        <is>
          <t>High</t>
        </is>
      </c>
      <c r="G114" s="12" t="str"/>
      <c r="H114" s="30" t="n"/>
      <c r="I114" s="12" t="inlineStr">
        <is>
          <t>Prototype is not production validation.</t>
        </is>
      </c>
    </row>
    <row r="115">
      <c r="A115" s="12" t="n">
        <v>114</v>
      </c>
      <c r="B115" s="12" t="inlineStr">
        <is>
          <t>Phase 12</t>
        </is>
      </c>
      <c r="C115" s="12" t="inlineStr">
        <is>
          <t>On-Premises Kubernetes</t>
        </is>
      </c>
      <c r="D115" s="12" t="inlineStr">
        <is>
          <t>Review audit logs, latency, quotas and isolation</t>
        </is>
      </c>
      <c r="E115" s="12" t="inlineStr">
        <is>
          <t>Not Started</t>
        </is>
      </c>
      <c r="F115" s="12" t="inlineStr">
        <is>
          <t>High</t>
        </is>
      </c>
      <c r="G115" s="12" t="str"/>
      <c r="H115" s="30" t="n"/>
      <c r="I115" s="12" t="inlineStr">
        <is>
          <t>Reliability requirement.</t>
        </is>
      </c>
    </row>
    <row r="116">
      <c r="A116" s="12" t="n">
        <v>115</v>
      </c>
      <c r="B116" s="12" t="inlineStr">
        <is>
          <t>Phase 12</t>
        </is>
      </c>
      <c r="C116" s="12" t="inlineStr">
        <is>
          <t>On-Premises Kubernetes</t>
        </is>
      </c>
      <c r="D116" s="12" t="inlineStr">
        <is>
          <t>Document onboarding/removal runbook</t>
        </is>
      </c>
      <c r="E116" s="12" t="inlineStr">
        <is>
          <t>Not Started</t>
        </is>
      </c>
      <c r="F116" s="12" t="inlineStr">
        <is>
          <t>Medium</t>
        </is>
      </c>
      <c r="G116" s="12" t="str"/>
      <c r="H116" s="30" t="n"/>
      <c r="I116" s="12" t="inlineStr">
        <is>
          <t>After path validation.</t>
        </is>
      </c>
    </row>
    <row r="117">
      <c r="A117" s="12" t="n">
        <v>116</v>
      </c>
      <c r="B117" s="12" t="inlineStr">
        <is>
          <t>Phase 13</t>
        </is>
      </c>
      <c r="C117" s="12" t="inlineStr">
        <is>
          <t>Security &amp; Supply Chain</t>
        </is>
      </c>
      <c r="D117" s="12" t="inlineStr">
        <is>
          <t>Agent Identity / no static service-account keys</t>
        </is>
      </c>
      <c r="E117" s="12" t="inlineStr">
        <is>
          <t>Completed</t>
        </is>
      </c>
      <c r="F117" s="12" t="inlineStr">
        <is>
          <t>Critical</t>
        </is>
      </c>
      <c r="G117" s="12" t="str"/>
      <c r="H117" s="30" t="n"/>
      <c r="I117" s="12" t="inlineStr">
        <is>
          <t>Implemented.</t>
        </is>
      </c>
    </row>
    <row r="118">
      <c r="A118" s="12" t="n">
        <v>117</v>
      </c>
      <c r="B118" s="12" t="inlineStr">
        <is>
          <t>Phase 13</t>
        </is>
      </c>
      <c r="C118" s="12" t="inlineStr">
        <is>
          <t>Security &amp; Supply Chain</t>
        </is>
      </c>
      <c r="D118" s="12" t="inlineStr">
        <is>
          <t>Read-only Kubernetes tooling</t>
        </is>
      </c>
      <c r="E118" s="12" t="inlineStr">
        <is>
          <t>Completed</t>
        </is>
      </c>
      <c r="F118" s="12" t="inlineStr">
        <is>
          <t>Critical</t>
        </is>
      </c>
      <c r="G118" s="12" t="str"/>
      <c r="H118" s="30" t="n"/>
      <c r="I118" s="12" t="inlineStr">
        <is>
          <t>Implemented.</t>
        </is>
      </c>
    </row>
    <row r="119">
      <c r="A119" s="12" t="n">
        <v>118</v>
      </c>
      <c r="B119" s="12" t="inlineStr">
        <is>
          <t>Phase 13</t>
        </is>
      </c>
      <c r="C119" s="12" t="inlineStr">
        <is>
          <t>Security &amp; Supply Chain</t>
        </is>
      </c>
      <c r="D119" s="12" t="inlineStr">
        <is>
          <t>Complete final IAM review</t>
        </is>
      </c>
      <c r="E119" s="12" t="inlineStr">
        <is>
          <t>In Progress</t>
        </is>
      </c>
      <c r="F119" s="12" t="inlineStr">
        <is>
          <t>Critical</t>
        </is>
      </c>
      <c r="G119" s="12" t="str"/>
      <c r="H119" s="30" t="n"/>
      <c r="I119" s="12" t="inlineStr">
        <is>
          <t>Cross-project/least-privilege review remains.</t>
        </is>
      </c>
    </row>
    <row r="120">
      <c r="A120" s="12" t="n">
        <v>119</v>
      </c>
      <c r="B120" s="12" t="inlineStr">
        <is>
          <t>Phase 13</t>
        </is>
      </c>
      <c r="C120" s="12" t="inlineStr">
        <is>
          <t>Security &amp; Supply Chain</t>
        </is>
      </c>
      <c r="D120" s="12" t="inlineStr">
        <is>
          <t>Kubernetes RBAC scoping</t>
        </is>
      </c>
      <c r="E120" s="12" t="inlineStr">
        <is>
          <t>In Progress</t>
        </is>
      </c>
      <c r="F120" s="12" t="inlineStr">
        <is>
          <t>Critical</t>
        </is>
      </c>
      <c r="G120" s="12" t="str"/>
      <c r="H120" s="30" t="n"/>
      <c r="I120" s="12" t="inlineStr">
        <is>
          <t>Needs production validation.</t>
        </is>
      </c>
    </row>
    <row r="121">
      <c r="A121" s="12" t="n">
        <v>120</v>
      </c>
      <c r="B121" s="12" t="inlineStr">
        <is>
          <t>Phase 13</t>
        </is>
      </c>
      <c r="C121" s="12" t="inlineStr">
        <is>
          <t>Security &amp; Supply Chain</t>
        </is>
      </c>
      <c r="D121" s="12" t="inlineStr">
        <is>
          <t>MCP authentication and authorization review</t>
        </is>
      </c>
      <c r="E121" s="12" t="inlineStr">
        <is>
          <t>In Progress</t>
        </is>
      </c>
      <c r="F121" s="12" t="inlineStr">
        <is>
          <t>High</t>
        </is>
      </c>
      <c r="G121" s="12" t="str"/>
      <c r="H121" s="30" t="n"/>
      <c r="I121" s="12" t="inlineStr">
        <is>
          <t>Needed before adding sources.</t>
        </is>
      </c>
    </row>
    <row r="122">
      <c r="A122" s="12" t="n">
        <v>121</v>
      </c>
      <c r="B122" s="12" t="inlineStr">
        <is>
          <t>Phase 13</t>
        </is>
      </c>
      <c r="C122" s="12" t="inlineStr">
        <is>
          <t>Security &amp; Supply Chain</t>
        </is>
      </c>
      <c r="D122" s="12" t="inlineStr">
        <is>
          <t>Agent Gateway security validation</t>
        </is>
      </c>
      <c r="E122" s="12" t="inlineStr">
        <is>
          <t>In Progress</t>
        </is>
      </c>
      <c r="F122" s="12" t="inlineStr">
        <is>
          <t>High</t>
        </is>
      </c>
      <c r="G122" s="12" t="str"/>
      <c r="H122" s="30" t="n"/>
      <c r="I122" s="12" t="inlineStr">
        <is>
          <t>Final production review.</t>
        </is>
      </c>
    </row>
    <row r="123">
      <c r="A123" s="12" t="n">
        <v>122</v>
      </c>
      <c r="B123" s="12" t="inlineStr">
        <is>
          <t>Phase 13</t>
        </is>
      </c>
      <c r="C123" s="12" t="inlineStr">
        <is>
          <t>Security &amp; Supply Chain</t>
        </is>
      </c>
      <c r="D123" s="12" t="inlineStr">
        <is>
          <t>Model Armor controlled validation</t>
        </is>
      </c>
      <c r="E123" s="12" t="inlineStr">
        <is>
          <t>In Progress</t>
        </is>
      </c>
      <c r="F123" s="12" t="inlineStr">
        <is>
          <t>High</t>
        </is>
      </c>
      <c r="G123" s="12" t="str"/>
      <c r="H123" s="30" t="n"/>
      <c r="I123" s="12" t="inlineStr">
        <is>
          <t>Not active in live path.</t>
        </is>
      </c>
    </row>
    <row r="124">
      <c r="A124" s="12" t="n">
        <v>123</v>
      </c>
      <c r="B124" s="12" t="inlineStr">
        <is>
          <t>Phase 13</t>
        </is>
      </c>
      <c r="C124" s="12" t="inlineStr">
        <is>
          <t>Security &amp; Supply Chain</t>
        </is>
      </c>
      <c r="D124" s="12" t="inlineStr">
        <is>
          <t>Supply-chain and CI hardening</t>
        </is>
      </c>
      <c r="E124" s="12" t="inlineStr">
        <is>
          <t>In Progress</t>
        </is>
      </c>
      <c r="F124" s="12" t="inlineStr">
        <is>
          <t>Medium</t>
        </is>
      </c>
      <c r="G124" s="12" t="str"/>
      <c r="H124" s="30" t="n"/>
      <c r="I124" s="12" t="inlineStr">
        <is>
          <t>Pinning/CI/container hardening remain.</t>
        </is>
      </c>
    </row>
    <row r="125">
      <c r="A125" s="12" t="n">
        <v>124</v>
      </c>
      <c r="B125" s="12" t="inlineStr">
        <is>
          <t>Phase 13</t>
        </is>
      </c>
      <c r="C125" s="12" t="inlineStr">
        <is>
          <t>Security &amp; Supply Chain</t>
        </is>
      </c>
      <c r="D125" s="12" t="inlineStr">
        <is>
          <t>VPC-SC / additional network hardening</t>
        </is>
      </c>
      <c r="E125" s="12" t="inlineStr">
        <is>
          <t>Deferred</t>
        </is>
      </c>
      <c r="F125" s="12" t="inlineStr">
        <is>
          <t>Low</t>
        </is>
      </c>
      <c r="G125" s="12" t="str"/>
      <c r="H125" s="30" t="n"/>
      <c r="I125" s="12" t="inlineStr">
        <is>
          <t>Phase 2 unless required earlier.</t>
        </is>
      </c>
    </row>
    <row r="126">
      <c r="A126" s="12" t="n">
        <v>125</v>
      </c>
      <c r="B126" s="12" t="inlineStr">
        <is>
          <t>Phase 14</t>
        </is>
      </c>
      <c r="C126" s="12" t="inlineStr">
        <is>
          <t>ADK Migration Assessment</t>
        </is>
      </c>
      <c r="D126" s="12" t="inlineStr">
        <is>
          <t>ADK architecture comparison</t>
        </is>
      </c>
      <c r="E126" s="12" t="inlineStr">
        <is>
          <t>Deferred</t>
        </is>
      </c>
      <c r="F126" s="12" t="inlineStr">
        <is>
          <t>Low</t>
        </is>
      </c>
      <c r="G126" s="12" t="str"/>
      <c r="H126" s="30" t="n"/>
      <c r="I126" s="12" t="inlineStr">
        <is>
          <t>Do not disrupt working LangGraph path during Phase 1.</t>
        </is>
      </c>
    </row>
    <row r="127">
      <c r="A127" s="12" t="n">
        <v>126</v>
      </c>
      <c r="B127" s="12" t="inlineStr">
        <is>
          <t>Phase 14</t>
        </is>
      </c>
      <c r="C127" s="12" t="inlineStr">
        <is>
          <t>ADK Migration Assessment</t>
        </is>
      </c>
      <c r="D127" s="12" t="inlineStr">
        <is>
          <t>ADK proof of concept and parity evaluation</t>
        </is>
      </c>
      <c r="E127" s="12" t="inlineStr">
        <is>
          <t>Deferred</t>
        </is>
      </c>
      <c r="F127" s="12" t="inlineStr">
        <is>
          <t>Low</t>
        </is>
      </c>
      <c r="G127" s="12" t="str"/>
      <c r="H127" s="30" t="n"/>
      <c r="I127" s="12" t="inlineStr">
        <is>
          <t>Phase 2.</t>
        </is>
      </c>
    </row>
    <row r="128">
      <c r="A128" s="12" t="n">
        <v>127</v>
      </c>
      <c r="B128" s="12" t="inlineStr">
        <is>
          <t>Phase 14</t>
        </is>
      </c>
      <c r="C128" s="12" t="inlineStr">
        <is>
          <t>ADK Migration Assessment</t>
        </is>
      </c>
      <c r="D128" s="12" t="inlineStr">
        <is>
          <t>Migration decision</t>
        </is>
      </c>
      <c r="E128" s="12" t="inlineStr">
        <is>
          <t>Deferred</t>
        </is>
      </c>
      <c r="F128" s="12" t="inlineStr">
        <is>
          <t>Low</t>
        </is>
      </c>
      <c r="G128" s="12" t="str"/>
      <c r="H128" s="30" t="n"/>
      <c r="I128" s="12" t="inlineStr">
        <is>
          <t>After MVP is stable.</t>
        </is>
      </c>
    </row>
    <row r="129">
      <c r="A129" s="12" t="n">
        <v>128</v>
      </c>
      <c r="B129" s="12" t="inlineStr">
        <is>
          <t>Final</t>
        </is>
      </c>
      <c r="C129" s="12" t="inlineStr">
        <is>
          <t>Final Production Approval</t>
        </is>
      </c>
      <c r="D129" s="12" t="inlineStr">
        <is>
          <t>Final architecture review</t>
        </is>
      </c>
      <c r="E129" s="12" t="inlineStr">
        <is>
          <t>Not Started</t>
        </is>
      </c>
      <c r="F129" s="12" t="inlineStr">
        <is>
          <t>Critical</t>
        </is>
      </c>
      <c r="G129" s="12" t="str"/>
      <c r="H129" s="30" t="n"/>
      <c r="I129" s="12" t="inlineStr">
        <is>
          <t>Production gate.</t>
        </is>
      </c>
    </row>
    <row r="130">
      <c r="A130" s="12" t="n">
        <v>129</v>
      </c>
      <c r="B130" s="12" t="inlineStr">
        <is>
          <t>Final</t>
        </is>
      </c>
      <c r="C130" s="12" t="inlineStr">
        <is>
          <t>Final Production Approval</t>
        </is>
      </c>
      <c r="D130" s="12" t="inlineStr">
        <is>
          <t>Final security review</t>
        </is>
      </c>
      <c r="E130" s="12" t="inlineStr">
        <is>
          <t>Not Started</t>
        </is>
      </c>
      <c r="F130" s="12" t="inlineStr">
        <is>
          <t>Critical</t>
        </is>
      </c>
      <c r="G130" s="12" t="str"/>
      <c r="H130" s="30" t="n"/>
      <c r="I130" s="12" t="inlineStr">
        <is>
          <t>Production gate.</t>
        </is>
      </c>
    </row>
    <row r="131">
      <c r="A131" s="12" t="n">
        <v>130</v>
      </c>
      <c r="B131" s="12" t="inlineStr">
        <is>
          <t>Final</t>
        </is>
      </c>
      <c r="C131" s="12" t="inlineStr">
        <is>
          <t>Final Production Approval</t>
        </is>
      </c>
      <c r="D131" s="12" t="inlineStr">
        <is>
          <t>Final IAM review</t>
        </is>
      </c>
      <c r="E131" s="12" t="inlineStr">
        <is>
          <t>Not Started</t>
        </is>
      </c>
      <c r="F131" s="12" t="inlineStr">
        <is>
          <t>Critical</t>
        </is>
      </c>
      <c r="G131" s="12" t="str"/>
      <c r="H131" s="30" t="n"/>
      <c r="I131" s="12" t="inlineStr">
        <is>
          <t>Production gate.</t>
        </is>
      </c>
    </row>
    <row r="132">
      <c r="A132" s="12" t="n">
        <v>131</v>
      </c>
      <c r="B132" s="12" t="inlineStr">
        <is>
          <t>Final</t>
        </is>
      </c>
      <c r="C132" s="12" t="inlineStr">
        <is>
          <t>Final Production Approval</t>
        </is>
      </c>
      <c r="D132" s="12" t="inlineStr">
        <is>
          <t>Final Model Armor report/decision</t>
        </is>
      </c>
      <c r="E132" s="12" t="inlineStr">
        <is>
          <t>Not Started</t>
        </is>
      </c>
      <c r="F132" s="12" t="inlineStr">
        <is>
          <t>High</t>
        </is>
      </c>
      <c r="G132" s="12" t="str"/>
      <c r="H132" s="30" t="n"/>
      <c r="I132" s="12" t="inlineStr">
        <is>
          <t>Production gate.</t>
        </is>
      </c>
    </row>
    <row r="133">
      <c r="A133" s="12" t="n">
        <v>132</v>
      </c>
      <c r="B133" s="12" t="inlineStr">
        <is>
          <t>Final</t>
        </is>
      </c>
      <c r="C133" s="12" t="inlineStr">
        <is>
          <t>Final Production Approval</t>
        </is>
      </c>
      <c r="D133" s="12" t="inlineStr">
        <is>
          <t>Final RCA accuracy and confidence evaluation</t>
        </is>
      </c>
      <c r="E133" s="12" t="inlineStr">
        <is>
          <t>Not Started</t>
        </is>
      </c>
      <c r="F133" s="12" t="inlineStr">
        <is>
          <t>Critical</t>
        </is>
      </c>
      <c r="G133" s="12" t="str"/>
      <c r="H133" s="30" t="n"/>
      <c r="I133" s="12" t="inlineStr">
        <is>
          <t>Production gate.</t>
        </is>
      </c>
    </row>
    <row r="134">
      <c r="A134" s="12" t="n">
        <v>133</v>
      </c>
      <c r="B134" s="12" t="inlineStr">
        <is>
          <t>Final</t>
        </is>
      </c>
      <c r="C134" s="12" t="inlineStr">
        <is>
          <t>Final Production Approval</t>
        </is>
      </c>
      <c r="D134" s="12" t="inlineStr">
        <is>
          <t>Monitoring and alert-delivery validation</t>
        </is>
      </c>
      <c r="E134" s="12" t="inlineStr">
        <is>
          <t>Not Started</t>
        </is>
      </c>
      <c r="F134" s="12" t="inlineStr">
        <is>
          <t>Critical</t>
        </is>
      </c>
      <c r="G134" s="12" t="str"/>
      <c r="H134" s="30" t="n"/>
      <c r="I134" s="12" t="inlineStr">
        <is>
          <t>Production gate.</t>
        </is>
      </c>
    </row>
    <row r="135">
      <c r="A135" s="12" t="n">
        <v>134</v>
      </c>
      <c r="B135" s="12" t="inlineStr">
        <is>
          <t>Final</t>
        </is>
      </c>
      <c r="C135" s="12" t="inlineStr">
        <is>
          <t>Final Production Approval</t>
        </is>
      </c>
      <c r="D135" s="12" t="inlineStr">
        <is>
          <t>Rollback and recovery testing</t>
        </is>
      </c>
      <c r="E135" s="12" t="inlineStr">
        <is>
          <t>Not Started</t>
        </is>
      </c>
      <c r="F135" s="12" t="inlineStr">
        <is>
          <t>Critical</t>
        </is>
      </c>
      <c r="G135" s="12" t="str"/>
      <c r="H135" s="30" t="n"/>
      <c r="I135" s="12" t="inlineStr">
        <is>
          <t>Production gate.</t>
        </is>
      </c>
    </row>
    <row r="136">
      <c r="A136" s="12" t="n">
        <v>135</v>
      </c>
      <c r="B136" s="12" t="inlineStr">
        <is>
          <t>Final</t>
        </is>
      </c>
      <c r="C136" s="12" t="inlineStr">
        <is>
          <t>Final Production Approval</t>
        </is>
      </c>
      <c r="D136" s="12" t="inlineStr">
        <is>
          <t>Document known limitations and accepted risks</t>
        </is>
      </c>
      <c r="E136" s="12" t="inlineStr">
        <is>
          <t>Not Started</t>
        </is>
      </c>
      <c r="F136" s="12" t="inlineStr">
        <is>
          <t>High</t>
        </is>
      </c>
      <c r="G136" s="12" t="str"/>
      <c r="H136" s="30" t="n"/>
      <c r="I136" s="12" t="inlineStr">
        <is>
          <t>Production gate.</t>
        </is>
      </c>
    </row>
    <row r="137">
      <c r="A137" s="12" t="n">
        <v>136</v>
      </c>
      <c r="B137" s="12" t="inlineStr">
        <is>
          <t>Final</t>
        </is>
      </c>
      <c r="C137" s="12" t="inlineStr">
        <is>
          <t>Final Production Approval</t>
        </is>
      </c>
      <c r="D137" s="12" t="inlineStr">
        <is>
          <t>Human approval before production rollout</t>
        </is>
      </c>
      <c r="E137" s="12" t="inlineStr">
        <is>
          <t>Not Started</t>
        </is>
      </c>
      <c r="F137" s="12" t="inlineStr">
        <is>
          <t>Critical</t>
        </is>
      </c>
      <c r="G137" s="12" t="str"/>
      <c r="H137" s="30" t="n"/>
      <c r="I137" s="12" t="inlineStr">
        <is>
          <t>Required by design.</t>
        </is>
      </c>
    </row>
    <row r="138">
      <c r="A138" t="n">
        <v>137</v>
      </c>
      <c r="B138" t="inlineStr">
        <is>
          <t>Phase 1</t>
        </is>
      </c>
      <c r="C138" t="inlineStr">
        <is>
          <t>Production Readiness</t>
        </is>
      </c>
      <c r="D138" t="inlineStr">
        <is>
          <t>Issue #31: SSE parser can silently return an empty first frame as success -- workflow/output correctness risk</t>
        </is>
      </c>
      <c r="E138" t="inlineStr">
        <is>
          <t>Completed</t>
        </is>
      </c>
      <c r="F138" t="inlineStr">
        <is>
          <t>High</t>
        </is>
      </c>
      <c r="I138" t="inlineStr">
        <is>
          <t>Fixed and deployed 2026-08-12 (PR #111, commit d4646d7). 6 new tests, full suite 153/153. Deploy confirmed update-in-place. Live regression evidence via CI smoke test (real MCP round-trip, mcp_latency_s=3.49, SMOKE TEST PASSED) plus a manual live run whose 3 MCP calls all succeeded before an unrelated timeout. Issue #31 closed.</t>
        </is>
      </c>
    </row>
    <row r="139">
      <c r="A139" t="n">
        <v>138</v>
      </c>
      <c r="B139" t="inlineStr">
        <is>
          <t>Phase 1</t>
        </is>
      </c>
      <c r="C139" t="inlineStr">
        <is>
          <t>Production Readiness</t>
        </is>
      </c>
      <c r="D139" t="inlineStr">
        <is>
          <t>Issue #87: Terraform gateway self-heal can auto-recreate the production Reasoning Engine unattended -- infrastructure/deployment safety risk</t>
        </is>
      </c>
      <c r="E139" t="inlineStr">
        <is>
          <t>Completed</t>
        </is>
      </c>
      <c r="F139" t="inlineStr">
        <is>
          <t>High</t>
        </is>
      </c>
      <c r="I139" t="inlineStr">
        <is>
          <t>Correction 2026-08-12: user caught that this was already fixed. The self-heal -replace= auto-recreate step this issue described was removed the day after filing (2026-08-10, PR #93) as a side effect of an unrelated migration -- gateway attach moved to native Terraform management. Confirmed via repo-wide grep: no -replace= or self-heal pattern exists anywhere. Issue #87 closed with evidence. Never actually required implementation work.</t>
        </is>
      </c>
    </row>
    <row r="140">
      <c r="A140" t="n">
        <v>139</v>
      </c>
      <c r="B140" t="inlineStr">
        <is>
          <t>Phase 1</t>
        </is>
      </c>
      <c r="C140" t="inlineStr">
        <is>
          <t>Production Readiness</t>
        </is>
      </c>
      <c r="D140" t="inlineStr">
        <is>
          <t>Issue #64: google_billing_budget shown in architecture docs is not provisioned in Terraform</t>
        </is>
      </c>
      <c r="E140" t="inlineStr">
        <is>
          <t>Completed</t>
        </is>
      </c>
      <c r="F140" t="inlineStr">
        <is>
          <t>Low</t>
        </is>
      </c>
      <c r="I140" t="inlineStr">
        <is>
          <t>Closed 2026-08-12, no code change needed -- docs/governance/cost-management.md (verified 2026-08-08) already correctly states cost tooling is PLANNED, never claimed an automated budget alert exists. Confirmed no google_billing_budget resource anywhere in iac/. Real automated budget alerting deferred as a separate future decision (financial/IAM scope), not bundled here.</t>
        </is>
      </c>
    </row>
    <row r="141">
      <c r="A141" t="n">
        <v>140</v>
      </c>
      <c r="B141" t="inlineStr">
        <is>
          <t>Phase 1</t>
        </is>
      </c>
      <c r="C141" t="inlineStr">
        <is>
          <t>Production Readiness</t>
        </is>
      </c>
      <c r="D141" t="inlineStr">
        <is>
          <t>Issue #92: Agent has no pod-log-read permission on the target GKE cluster -- logs unavailable for every incident</t>
        </is>
      </c>
      <c r="E141" t="inlineStr">
        <is>
          <t>Completed</t>
        </is>
      </c>
      <c r="F141" t="inlineStr">
        <is>
          <t>P0-quick-fix</t>
        </is>
      </c>
      <c r="I141" t="inlineStr">
        <is>
          <t>Corrected + live-validated 2026-08-12. Real root cause was NOT a missing IAM permission -- a K8s-native RoleBinding already existed on the cluster (applied 2026-07-28) but was bound to a stale reasoning-engine ID from before a redeploy. Fixed by updating the RoleBinding subject to the current engine ID, checked into k8s/rbac.yaml (PR #121), applied live. Verified: kubectl auth can-i get pods/log --as=&lt;current engine&gt; now returns yes (was no). Reverted the earlier Cloud IAM custom-role approach (PR #118) as unnecessary duplicate infra -- never actually deployed. Full end-to-end agent test blocked by a separate CPUS_ALL_REGIONS=12 quota (cost guardrail on personal account, not raised) -- kubectl auth can-i accepted as sufficient live evidence per user confirmation.</t>
        </is>
      </c>
    </row>
    <row r="142">
      <c r="A142" t="n">
        <v>141</v>
      </c>
      <c r="B142" t="inlineStr">
        <is>
          <t>Phase 1</t>
        </is>
      </c>
      <c r="C142" t="inlineStr">
        <is>
          <t>Production Readiness</t>
        </is>
      </c>
      <c r="D142" t="inlineStr">
        <is>
          <t>Issue #67: resource_identity_match only checks cluster, ignoring namespace and pod</t>
        </is>
      </c>
      <c r="E142" t="inlineStr">
        <is>
          <t>Completed</t>
        </is>
      </c>
      <c r="F142" t="inlineStr">
        <is>
          <t>P1-small-fix</t>
        </is>
      </c>
      <c r="I142" t="inlineStr">
        <is>
          <t>Fixed 2026-08-12 (PR #125). resource_identity_match now checks namespace/pod via evidence resource_id field, not just cluster. 2 new regression tests, full suite 190/190 pass, deployed live via CI apply.</t>
        </is>
      </c>
    </row>
    <row r="143">
      <c r="A143" t="n">
        <v>142</v>
      </c>
      <c r="B143" t="inlineStr">
        <is>
          <t>Phase 1</t>
        </is>
      </c>
      <c r="C143" t="inlineStr">
        <is>
          <t>Production Readiness</t>
        </is>
      </c>
      <c r="D143" t="inlineStr">
        <is>
          <t>Issue #68: time_correlation and freshness scoring do not evaluate real evidence timestamps</t>
        </is>
      </c>
      <c r="E143" t="inlineStr">
        <is>
          <t>Completed</t>
        </is>
      </c>
      <c r="F143" t="inlineStr">
        <is>
          <t>P1-small-fix</t>
        </is>
      </c>
      <c r="I143" t="inlineStr">
        <is>
          <t>Fixed 2026-08-12 (PR #125). evidence_extractor.py now stamps real collected_at per evidence item; freshness/time_correlation use it instead of investigation-start proxy / flat binary. 4 new regression tests.</t>
        </is>
      </c>
    </row>
    <row r="144">
      <c r="A144" t="n">
        <v>143</v>
      </c>
      <c r="B144" t="inlineStr">
        <is>
          <t>Phase 1</t>
        </is>
      </c>
      <c r="C144" t="inlineStr">
        <is>
          <t>Production Readiness</t>
        </is>
      </c>
      <c r="D144" t="inlineStr">
        <is>
          <t>Issue #69: investigation loop can exit while required evidence domains are still missing</t>
        </is>
      </c>
      <c r="E144" t="inlineStr">
        <is>
          <t>Completed</t>
        </is>
      </c>
      <c r="F144" t="inlineStr">
        <is>
          <t>P1-small-fix</t>
        </is>
      </c>
      <c r="I144" t="inlineStr">
        <is>
          <t>Fixed 2026-08-12 (PR #125). Loop no longer exits on enough_evidence=True when missing_required_domains is non-empty and budget remains -- forces one more iteration. Real E2E proof cited in issue. 4 new regression tests.</t>
        </is>
      </c>
    </row>
    <row r="145">
      <c r="A145" t="n">
        <v>144</v>
      </c>
      <c r="B145" t="inlineStr">
        <is>
          <t>Phase 1</t>
        </is>
      </c>
      <c r="C145" t="inlineStr">
        <is>
          <t>Production Readiness</t>
        </is>
      </c>
      <c r="D145" t="inlineStr">
        <is>
          <t>Issue #70: agent does not act on its own generated next investigative step before concluding</t>
        </is>
      </c>
      <c r="E145" t="inlineStr">
        <is>
          <t>Completed</t>
        </is>
      </c>
      <c r="F145" t="inlineStr">
        <is>
          <t>P1-small-fix</t>
        </is>
      </c>
      <c r="I145" t="inlineStr">
        <is>
          <t>Partially fixed 2026-08-12 (PR #125) -- broaden-and-retry on NotFound added for list_k8s_events. Second half (force suggested tool call) covered by #69 fix instead (same root symptom, stronger mechanism). Issue auto-closed as a side effect of commit message wording -- see corrective comment on the issue. 6 new regression tests.</t>
        </is>
      </c>
    </row>
    <row r="146">
      <c r="A146" t="n">
        <v>145</v>
      </c>
      <c r="B146" t="inlineStr">
        <is>
          <t>Phase 1</t>
        </is>
      </c>
      <c r="C146" t="inlineStr">
        <is>
          <t>Production Readiness</t>
        </is>
      </c>
      <c r="D146" t="inlineStr">
        <is>
          <t>Issue #71: MCP fallback audit trail records the requested tool, not what actually executed</t>
        </is>
      </c>
      <c r="E146" t="inlineStr">
        <is>
          <t>Completed</t>
        </is>
      </c>
      <c r="F146" t="inlineStr">
        <is>
          <t>P1-small-fix</t>
        </is>
      </c>
      <c r="I146" t="inlineStr">
        <is>
          <t>Fixed 2026-08-12 (PR #125). tool_history/latest_tool_result now record call_tool()'s actual executed tool/mcp_source, not the pre-call request. 3 new regression tests.</t>
        </is>
      </c>
    </row>
    <row r="147">
      <c r="A147" t="n">
        <v>146</v>
      </c>
      <c r="B147" t="inlineStr">
        <is>
          <t>Phase 1</t>
        </is>
      </c>
      <c r="C147" t="inlineStr">
        <is>
          <t>Production Readiness</t>
        </is>
      </c>
      <c r="D147" t="inlineStr">
        <is>
          <t>Issue #72: MCP fallback does not trigger on network errors and has an invalid tool mapping</t>
        </is>
      </c>
      <c r="E147" t="inlineStr">
        <is>
          <t>Completed</t>
        </is>
      </c>
      <c r="F147" t="inlineStr">
        <is>
          <t>P1-small-fix</t>
        </is>
      </c>
      <c r="I147" t="inlineStr">
        <is>
          <t>Fixed 2026-08-12 (PR #125). Fallback now fires on network exceptions and empty responses too (not just non-200 status); removed 2 semantically-invalid tool mappings (get_k8s_cluster_info/list_k8s_api_resources -&gt; list_pods); pod_name only sent to fallback targets that accept it. 9 new regression tests.</t>
        </is>
      </c>
    </row>
    <row r="148">
      <c r="A148" t="n">
        <v>147</v>
      </c>
      <c r="B148" t="inlineStr">
        <is>
          <t>Phase 1</t>
        </is>
      </c>
      <c r="C148" t="inlineStr">
        <is>
          <t>Production Readiness</t>
        </is>
      </c>
      <c r="D148" t="inlineStr">
        <is>
          <t>Issue #74: Gemini token/cost/latency counters are process-global, not scoped per investigation</t>
        </is>
      </c>
      <c r="E148" t="inlineStr">
        <is>
          <t>Completed</t>
        </is>
      </c>
      <c r="F148" t="inlineStr">
        <is>
          <t>P1-small-fix</t>
        </is>
      </c>
      <c r="I148" t="inlineStr">
        <is>
          <t>Fixed 2026-08-12 (PR #127). GeminiAdapter is cached process-wide and reused across investigations -- added reset_session(), called at the start of every investigation in agent/main.py investigate(). 5 new regression tests, full suite 195/195 pass.</t>
        </is>
      </c>
    </row>
    <row r="149">
      <c r="A149" t="n">
        <v>148</v>
      </c>
      <c r="B149" t="inlineStr">
        <is>
          <t>Phase 1</t>
        </is>
      </c>
      <c r="C149" t="inlineStr">
        <is>
          <t>Production Readiness</t>
        </is>
      </c>
      <c r="D149" t="inlineStr">
        <is>
          <t>Issue #75: Duplicate completion log events not scoped by logName can double-count metrics</t>
        </is>
      </c>
      <c r="E149" t="inlineStr">
        <is>
          <t>Completed</t>
        </is>
      </c>
      <c r="F149" t="inlineStr">
        <is>
          <t>P1-small-fix</t>
        </is>
      </c>
      <c r="I149" t="inlineStr">
        <is>
          <t>Fixed 2026-08-12 (PR #127). 8 of 9 completion-related log-based metrics in monitoring.tf were double-counting (2 separate completion events share overlapping field names). Restricted to event_type="sre_agent_run", matching the #63 token_usage fix. 9 new terraform tests, terraform plan clean (8 metrics update in-place).</t>
        </is>
      </c>
    </row>
    <row r="150">
      <c r="A150" t="n">
        <v>149</v>
      </c>
      <c r="B150" t="inlineStr">
        <is>
          <t>Phase 1</t>
        </is>
      </c>
      <c r="C150" t="inlineStr">
        <is>
          <t>Production Readiness</t>
        </is>
      </c>
      <c r="D150" t="inlineStr">
        <is>
          <t>Issue #76: Full prompt/response content capture enabled in tracing at 100% sample rate</t>
        </is>
      </c>
      <c r="E150" t="inlineStr">
        <is>
          <t>Completed</t>
        </is>
      </c>
      <c r="F150" t="inlineStr">
        <is>
          <t>P1-small-fix</t>
        </is>
      </c>
      <c r="I150" t="inlineStr">
        <is>
          <t>Completed 2026-08-13 (PR #133). Corrected compliance review found 3 more real content-capture paths beyond the original flag: agent/main.py sre.query span attribute (raw query text), agent/otel.py trace_node() exception handling (record_exception/Status/sre.node.error all sent exception message text), and both spans defaulted to OTel start_as_current_span()'s record_exception=True (auto-captures exception message on re-raise, independent of explicit handling -- caught by this PR's own regression test failing on first run). All fixed: sre.query removed, only exception TYPE recorded (sre.node.error_type), record_exception=False/set_status_on_exception=False on both span-creation sites. 3 new Python tests (real in-process OTel TracerProvider + InMemorySpanExporter, unique secret marker proven absent from all span data) + 2 new terraform tests. Full suite 200/200, terraform test 25/25, terraform plan clean. Deployed, Agent Engine ID unchanged (7801582006105538560). Live-queried the real deployed resource directly (Vertex AI REST API, not just terraform state): OTEL_INSTRUMENTATION_GENAI_CAPTURE_MESSAGE_CONTENT=false, OTEL_TRACES_SAMPLER_ARG=1.0 confirmed. Does NOT claim working Cloud Trace was validated -- #130 (Cloud Trace export appears broken) is separate and stays open.</t>
        </is>
      </c>
    </row>
    <row r="151">
      <c r="A151" t="n">
        <v>151</v>
      </c>
      <c r="B151" t="inlineStr">
        <is>
          <t>Phase 1</t>
        </is>
      </c>
      <c r="C151" t="inlineStr">
        <is>
          <t>Production Readiness</t>
        </is>
      </c>
      <c r="D151" t="inlineStr">
        <is>
          <t>Issue #91: Evidence-domain coverage credits failed tool calls as if they succeeded</t>
        </is>
      </c>
      <c r="E151" t="inlineStr">
        <is>
          <t>Completed</t>
        </is>
      </c>
      <c r="F151" t="inlineStr">
        <is>
          <t>P0-quick-fix</t>
        </is>
      </c>
      <c r="I151" t="inlineStr">
        <is>
          <t>Fixed 2026-08-13 (PR #131, merged as part of a bundled branch -- see PR for note). _evidence_domains_present() now excludes ev.get("ok")==False entries, fixing both required_evidence_coverage and independent_corroboration. 2 new regression tests, full suite 197/197 pass. Deployed, Agent Engine ID unchanged (7801582006105538560).</t>
        </is>
      </c>
    </row>
    <row r="152">
      <c r="A152" t="n">
        <v>152</v>
      </c>
      <c r="B152" t="inlineStr">
        <is>
          <t>Phase 6</t>
        </is>
      </c>
      <c r="C152" t="inlineStr">
        <is>
          <t>Observability &amp; Reliability</t>
        </is>
      </c>
      <c r="D152" t="inlineStr">
        <is>
          <t>Fix persistent Cloud Logging observability-write 403 (rca_builder.py)</t>
        </is>
      </c>
      <c r="E152" t="inlineStr">
        <is>
          <t>Completed</t>
        </is>
      </c>
      <c r="F152" t="inlineStr">
        <is>
          <t>P2-medium-fix</t>
        </is>
      </c>
      <c r="I152" t="inlineStr">
        <is>
          <t>RESOLVED 2026-08-23. Root cause: default gRPC transport never resolved a registry match through Agent Gateway (agentGatewayInfo empty on every real call, unlike every other working destination). Fix: cloud_logging.Client(_use_grpc=False), matched by re-registering us-central1-logging as protocolBinding=HTTP_JSON (Cloud Trace untouched). Live-verified 3/3 clean deployed investigations (run_20260823_163628_epvi, run_20260823_164050_ltcl, run_20260823_164258_wrjv) -- real entries now in sre-agent-investigations, which had zero entries in 180 days before. PRs #174 (controlled test), #175 (rolled to all 4 sites). Corrects a wrong repo assumption that google-cloud-logging is gRPC-only -- it isn't, confirmed against the installed 3.15.0 client.</t>
        </is>
      </c>
    </row>
    <row r="153">
      <c r="A153" t="n">
        <v>153</v>
      </c>
      <c r="B153" t="n">
        <v>6</v>
      </c>
      <c r="C153" t="inlineStr">
        <is>
          <t>Observability &amp; Reliability</t>
        </is>
      </c>
      <c r="D153" t="inlineStr">
        <is>
          <t>Fix Cloud Trace span fragmentation in native stream_query() investigations</t>
        </is>
      </c>
      <c r="E153" t="inlineStr">
        <is>
          <t>Completed</t>
        </is>
      </c>
      <c r="F153" t="inlineStr">
        <is>
          <t>High</t>
        </is>
      </c>
      <c r="G153" t="inlineStr"/>
      <c r="H153" t="inlineStr"/>
      <c r="I153" t="inlineStr">
        <is>
          <t>Fixed 2026-08-15 (PR #163, merge commit 7f02061). Root cause: investigate_stream()'s outer sre_agent.investigation OTel context was lost across the generator's own yield/resume boundary -- confirmed via a live diagnostic deployment (PR #162) showing context valid through points A/B, invalid immediately after the first yield (point C), same OS thread throughout. Fix: explicit OTel context capture/reattach around every graph.stream() iterator advancement in agent/main.py. Verified live: run_20260815_230251_iwqp produced one correlated trace with all 54 spans (sre_agent.investigation -&gt; langgraph.* -&gt; gen_ai.chat), matching the #130-validated synchronous baseline span count. GitHub #161 closed.</t>
        </is>
      </c>
    </row>
    <row r="154">
      <c r="A154" t="n">
        <v>154</v>
      </c>
      <c r="B154" t="n">
        <v>6</v>
      </c>
      <c r="C154" t="inlineStr">
        <is>
          <t>Observability &amp; Reliability</t>
        </is>
      </c>
      <c r="D154" t="inlineStr">
        <is>
          <t>Resolve Agent Platform Console Traces/Telemetry view not updating after OTel provider fix (#164)</t>
        </is>
      </c>
      <c r="E154" t="inlineStr">
        <is>
          <t>In Progress</t>
        </is>
      </c>
      <c r="F154" t="inlineStr">
        <is>
          <t>High</t>
        </is>
      </c>
      <c r="G154" t="inlineStr"/>
      <c r="H154" t="inlineStr"/>
      <c r="I154" t="inlineStr">
        <is>
          <t>FIXED (app side): our own OTel tracer-provider race. #130's fix (PR #136) made our tracer initialize early in set_up() and reliably win OpenTelemetry's one-time global-provider race (confirmed live: 11/11 workers), blocking Agent Engine's managed provider from installing. PR #165 (merge commit ee65b69, deployed 2026-08-16) stopped competing for that slot -- get_tracer() now builds its own local TracerProvider -- restoring the managed tracer path. Verified live: Google-owned Model Armor spans reappeared in Cloud Trace (never seen before this fix). WORKING: Cloud Trace collection itself. Live run run_20260816_083409_lpak produced 54 correctly-parented spans. STILL UNRESOLVED: the Agent Platform Console's Traces tab has not updated since 2026-08-13, and the Deployments list's Telemetry collection column still reads 'Learn more', not 'Enabled'. ROOT CAUSE UNCONFIRMED (Console side). Three config-level hypotheses tested live and ruled out 2026-08-14..16, each reverted after: sync vs stream invocation method; OTEL_INSTRUMENTATION_GENAI_CAPTURE_MESSAGE_CONTENT (boolean and correct-enum values); OTEL_SEMCONV_STABILITY_OPT_IN (never previously set). That was the last realistic officially-documented config lead. Google support case drafted, NOT yet submitted. GitHub #164 remains OPEN. Use Cloud Trace directly instead of the Console tab until it closes.</t>
        </is>
      </c>
    </row>
    <row r="155">
      <c r="A155" t="n">
        <v>155</v>
      </c>
      <c r="B155" t="n">
        <v>1</v>
      </c>
      <c r="C155" t="inlineStr">
        <is>
          <t>Production Readiness</t>
        </is>
      </c>
      <c r="D155" t="inlineStr">
        <is>
          <t>Issue #77: CI runs no tests, linting, or security scanning on pull requests</t>
        </is>
      </c>
      <c r="E155" t="inlineStr">
        <is>
          <t>Completed</t>
        </is>
      </c>
      <c r="F155" t="inlineStr">
        <is>
          <t>P2-medium-fix</t>
        </is>
      </c>
      <c r="G155" t="inlineStr"/>
      <c r="H155" t="inlineStr"/>
      <c r="I155" t="inlineStr">
        <is>
          <t>Fixed and deployed (PR #141): python-tests.yml added -- pytest, blocking ruff, pip-audit, a separate mcp-pytest job. Live-validated 2026-08-20: deploy run https://github.com/AshminPy/sre-agent-gateway/actions/runs/32427392189 -- a real investigation (imagepull scenario) completed in ~90s with a correct root cause and no #103-style timeout, the required clean canary. GitHub #77 closed.</t>
        </is>
      </c>
    </row>
    <row r="156">
      <c r="A156" t="n">
        <v>156</v>
      </c>
      <c r="B156" t="n">
        <v>1</v>
      </c>
      <c r="C156" t="inlineStr">
        <is>
          <t>Production Readiness</t>
        </is>
      </c>
      <c r="D156" t="inlineStr">
        <is>
          <t>Issue #78: CI path filters skip tests/, scripts/, eval/, and iac/gke-access/</t>
        </is>
      </c>
      <c r="E156" t="inlineStr">
        <is>
          <t>Completed</t>
        </is>
      </c>
      <c r="F156" t="inlineStr">
        <is>
          <t>P2-medium-fix</t>
        </is>
      </c>
      <c r="G156" t="inlineStr"/>
      <c r="H156" t="inlineStr"/>
      <c r="I156" t="inlineStr">
        <is>
          <t>Fixed and deployed (PR #141), scoped correctly per its own 2026-08-14 Correction: eval/** and iac/gke-access/** intentionally excluded (iac/gke-access is a separate Terraform stack; both terraform workflows run working-directory: iac/agent, so adding that path would validate the wrong stack -- deferred to a later, unfiled audit item, not this issue). Live-validated by the same canary as #77: https://github.com/AshminPy/sre-agent-gateway/actions/runs/32427392189. GitHub #78 closed.</t>
        </is>
      </c>
    </row>
    <row r="157">
      <c r="A157" t="n">
        <v>157</v>
      </c>
      <c r="B157" t="n">
        <v>1</v>
      </c>
      <c r="C157" t="inlineStr">
        <is>
          <t>Production Readiness</t>
        </is>
      </c>
      <c r="D157" t="inlineStr">
        <is>
          <t>Issue #94: Recurring terraform plan drift: TELEMETRY env var re-add + source_archive mismatch on sre_agent</t>
        </is>
      </c>
      <c r="E157" t="inlineStr">
        <is>
          <t>Completed</t>
        </is>
      </c>
      <c r="F157" t="inlineStr">
        <is>
          <t>P2-medium-fix</t>
        </is>
      </c>
      <c r="G157" t="inlineStr"/>
      <c r="H157" t="inlineStr"/>
      <c r="I157" t="inlineStr">
        <is>
          <t>Fixed (PR #157, merged 2026-08-20): removed the GOOGLE_CLOUD_AGENT_ENGINE_ENABLE_TELEMETRY declaration from agent_engine.tf -- Google's own provider code unconditionally skips this var when reading state back, so declaring it made every plan re-propose adding it forever. Deployed and applied cleanly: run https://github.com/AshminPy/sre-agent-gateway/actions/runs/32427392189, Apply step succeeded, 0 errors. Second cause (historical source_archive drift from the pre-#93 out-of-band script) was already expected to self-resolve; worth one more terraform plan check in a future session, not a new issue. GitHub #94 closed.</t>
        </is>
      </c>
    </row>
    <row r="158">
      <c r="A158" t="n">
        <v>158</v>
      </c>
      <c r="B158" t="n">
        <v>3</v>
      </c>
      <c r="C158" t="inlineStr">
        <is>
          <t>RCA Output &amp; Evidence</t>
        </is>
      </c>
      <c r="D158" t="inlineStr">
        <is>
          <t>Container-aware evidence collection and attribution (multi-container/sidecar pods)</t>
        </is>
      </c>
      <c r="E158" t="inlineStr">
        <is>
          <t>Not Started</t>
        </is>
      </c>
      <c r="F158" t="inlineStr">
        <is>
          <t>Critical</t>
        </is>
      </c>
      <c r="G158" t="inlineStr"/>
      <c r="H158" t="inlineStr"/>
      <c r="I158" t="inlineStr">
        <is>
          <t>Confirmed 2026-08-21/22: ALL workloads on the target GKE Autopilot clusters run an Istio sidecar -- this affects every investigation, not an edge case. Confirmed gap, 3 layers, read directly from code: (1) agent/mcp_client.py:306-317's GKE Remote MCP payload builder for get_k8s_logs never forwards a container argument even though the API supports one (custom MCP's mcp/tools/logs.py already does this correctly); (2) agent/nodes/evidence_extractor.py's evidence schema has no container field and never surfaces describe_pod_detail's own containers/container_statuses into the evidence the LLM reasons over; (3) agent/prompts.py's tool-selection prompt has no language teaching the model that a pod can have multiple containers, and mcp_router.py's auto-fill only ever sets namespace/pod. Scope, deliberately narrow -- data plumbing and prompt fix, not a redesign: forward the container arg on the GKE path, surface containers/container_statuses into key_facts, add container-selection guidance to the tool-selection prompt, add a container field to the evidence schema. Required before Milestone 1 (GKE pilot) per management direction 2026-08-22 -- every pilot target has this. See EXT-003 (External Dependencies worksheet) for the corresponding real work-cluster observation.</t>
        </is>
      </c>
    </row>
    <row r="159">
      <c r="A159" t="n">
        <v>159</v>
      </c>
      <c r="B159" t="n">
        <v>6</v>
      </c>
      <c r="C159" t="inlineStr">
        <is>
          <t>Observability &amp; Reliability</t>
        </is>
      </c>
      <c r="D159" t="inlineStr">
        <is>
          <t>Issue #139 fix rolled out to tool_executor.py/mcp_router.py/gcs_client.py</t>
        </is>
      </c>
      <c r="E159" t="inlineStr">
        <is>
          <t>In Progress</t>
        </is>
      </c>
      <c r="F159" t="inlineStr">
        <is>
          <t>P2-medium-fix</t>
        </is>
      </c>
      <c r="G159" t="inlineStr"/>
      <c r="H159" t="inlineStr"/>
      <c r="I159" t="inlineStr">
        <is>
          <t>Same _use_grpc=False fix as row 152's rca_builder.py resolution, applied to the 3 sibling call sites sharing the identical pattern (sre-agent-tool-failures, sre-agent-routing-failures, sre-agent-evidence-storage-failures). PR #175 merged and deployed (CI run 32653113035, smoke test passed). NOT yet live-validated -- these 3 only write on a genuine tool/routing/evidence-storage failure, which did not occur naturally in the 3 confirmation runs used to validate row 152. Completion requires: a real failure of each kind occurring live with the corresponding log entry confirmed written, no 403. Also open: the new HTTP_JSON-transported entries show resource.type=cloud_run_revision, not aiplatform.googleapis.com/ReasoningEngine -- the 5 alerts tied to these loggers (gke_mcp_failures, custom_mcp_failures, repeated_tool_failures, routing_failures, evidence_storage_failures) need their own resource.type re-check before assuming PR #173's fix pattern applies.</t>
        </is>
      </c>
    </row>
  </sheetData>
  <conditionalFormatting sqref="E2:E137">
    <cfRule type="expression" priority="1" dxfId="0">
      <formula>E2="Completed"</formula>
    </cfRule>
    <cfRule type="expression" priority="2" dxfId="1">
      <formula>E2="In Progress"</formula>
    </cfRule>
    <cfRule type="expression" priority="3" dxfId="2">
      <formula>E2="Not Started"</formula>
    </cfRule>
    <cfRule type="expression" priority="4" dxfId="3">
      <formula>E2="Blocked"</formula>
    </cfRule>
    <cfRule type="expression" priority="5" dxfId="4">
      <formula>E2="Deferred"</formula>
    </cfRule>
  </conditionalFormatting>
  <dataValidations count="2">
    <dataValidation sqref="E2:E139" showDropDown="0" showInputMessage="0" showErrorMessage="0" allowBlank="0" type="list">
      <formula1>"Completed,In Progress,Not Started,Blocked,Deferred,Waiting on Google Support"</formula1>
    </dataValidation>
    <dataValidation sqref="F2:F139" showDropDown="0" showInputMessage="0" showErrorMessage="0" allowBlank="0" type="list">
      <formula1>"Critical,High,Medium,Low"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58" customWidth="1" min="4" max="4"/>
    <col width="12" customWidth="1" min="5" max="5"/>
  </cols>
  <sheetData>
    <row r="1">
      <c r="A1" s="21" t="inlineStr">
        <is>
          <t>SRE Agent Project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3" t="inlineStr">
        <is>
          <t>Metric</t>
        </is>
      </c>
      <c r="B4" s="23" t="inlineStr">
        <is>
          <t>Value</t>
        </is>
      </c>
      <c r="D4" s="23" t="inlineStr">
        <is>
          <t>Priority</t>
        </is>
      </c>
      <c r="E4" s="23" t="inlineStr">
        <is>
          <t>Count</t>
        </is>
      </c>
    </row>
    <row r="5">
      <c r="A5" t="inlineStr">
        <is>
          <t>Total Tasks</t>
        </is>
      </c>
      <c r="B5">
        <f>COUNTA('Project Tracker'!D2:D10000)</f>
        <v/>
      </c>
      <c r="D5" t="inlineStr">
        <is>
          <t>Critical</t>
        </is>
      </c>
      <c r="E5">
        <f>COUNTIF('Project Tracker'!F2:F10000,"Critical")</f>
        <v/>
      </c>
    </row>
    <row r="6">
      <c r="A6" t="inlineStr">
        <is>
          <t>Completed</t>
        </is>
      </c>
      <c r="B6">
        <f>COUNTIF('Project Tracker'!E2:E10000,"Completed")</f>
        <v/>
      </c>
      <c r="D6" t="inlineStr">
        <is>
          <t>High</t>
        </is>
      </c>
      <c r="E6">
        <f>COUNTIF('Project Tracker'!F2:F10000,"High")</f>
        <v/>
      </c>
    </row>
    <row r="7">
      <c r="A7" t="inlineStr">
        <is>
          <t>In Progress</t>
        </is>
      </c>
      <c r="B7">
        <f>COUNTIF('Project Tracker'!E2:E10000,"In Progress")</f>
        <v/>
      </c>
      <c r="D7" t="inlineStr">
        <is>
          <t>Medium</t>
        </is>
      </c>
      <c r="E7">
        <f>COUNTIF('Project Tracker'!F2:F10000,"Medium")</f>
        <v/>
      </c>
    </row>
    <row r="8">
      <c r="A8" t="inlineStr">
        <is>
          <t>Blocked</t>
        </is>
      </c>
      <c r="B8">
        <f>COUNTIF('Project Tracker'!E2:E10000,"Blocked")</f>
        <v/>
      </c>
      <c r="D8" t="inlineStr">
        <is>
          <t>Low</t>
        </is>
      </c>
      <c r="E8">
        <f>COUNTIF('Project Tracker'!F2:F10000,"Low")</f>
        <v/>
      </c>
    </row>
    <row r="9">
      <c r="A9" t="inlineStr">
        <is>
          <t>Not Started</t>
        </is>
      </c>
      <c r="B9">
        <f>COUNTIF('Project Tracker'!E2:E10000,"Not Started")</f>
        <v/>
      </c>
      <c r="D9" t="inlineStr">
        <is>
          <t>Deferred</t>
        </is>
      </c>
      <c r="E9">
        <f>COUNTIF('Project Tracker'!E2:E10000,"Deferred")</f>
        <v/>
      </c>
    </row>
    <row r="10">
      <c r="A10" t="inlineStr">
        <is>
          <t>Waiting on Google Support</t>
        </is>
      </c>
      <c r="B10">
        <f>COUNTIF('Project Tracker'!E2:E10000,"Waiting on Google Support")</f>
        <v/>
      </c>
    </row>
    <row r="12">
      <c r="A12" s="29" t="inlineStr">
        <is>
          <t>Current Priority Focus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4" t="inlineStr">
        <is>
          <t>Order</t>
        </is>
      </c>
      <c r="B13" s="4" t="inlineStr">
        <is>
          <t>Focus</t>
        </is>
      </c>
      <c r="C13" s="4" t="inlineStr">
        <is>
          <t>Status</t>
        </is>
      </c>
      <c r="D13" s="4" t="inlineStr">
        <is>
          <t>Why It Matters</t>
        </is>
      </c>
    </row>
    <row r="14">
      <c r="A14" s="12" t="n">
        <v>1</v>
      </c>
      <c r="B14" s="12" t="inlineStr">
        <is>
          <t>Fix client timeout / investigation latency</t>
        </is>
      </c>
      <c r="C14" s="12" t="inlineStr">
        <is>
          <t>Blocked</t>
        </is>
      </c>
      <c r="D14" s="12" t="inlineStr">
        <is>
          <t>Live runs can exceed the client timeout.</t>
        </is>
      </c>
    </row>
    <row r="15">
      <c r="A15" s="12" t="n">
        <v>2</v>
      </c>
      <c r="B15" s="12" t="inlineStr">
        <is>
          <t>Restore reliable pod-log access</t>
        </is>
      </c>
      <c r="C15" s="12" t="inlineStr">
        <is>
          <t>Blocked</t>
        </is>
      </c>
      <c r="D15" s="12" t="inlineStr">
        <is>
          <t>Missing logs directly reduces investigation quality.</t>
        </is>
      </c>
    </row>
    <row r="16">
      <c r="A16" s="12" t="n">
        <v>3</v>
      </c>
      <c r="B16" s="12" t="inlineStr">
        <is>
          <t>Close confidence/evidence correctness gaps</t>
        </is>
      </c>
      <c r="C16" s="12" t="inlineStr">
        <is>
          <t>In Progress</t>
        </is>
      </c>
      <c r="D16" s="12" t="inlineStr">
        <is>
          <t>Confidence must reflect successful, fresh evidence.</t>
        </is>
      </c>
    </row>
    <row r="17">
      <c r="A17" s="12" t="n">
        <v>4</v>
      </c>
      <c r="B17" s="12" t="inlineStr">
        <is>
          <t>Finish routing safety and multi-cluster IAM</t>
        </is>
      </c>
      <c r="C17" s="12" t="inlineStr">
        <is>
          <t>In Progress</t>
        </is>
      </c>
      <c r="D17" s="12" t="inlineStr">
        <is>
          <t>Wrong-cluster/default routing is a production safety risk.</t>
        </is>
      </c>
    </row>
    <row r="18">
      <c r="A18" s="12" t="n">
        <v>5</v>
      </c>
      <c r="B18" s="12" t="inlineStr">
        <is>
          <t>Complete full E2E evaluation</t>
        </is>
      </c>
      <c r="C18" s="12" t="inlineStr">
        <is>
          <t>Blocked</t>
        </is>
      </c>
      <c r="D18" s="12" t="inlineStr">
        <is>
          <t>Need proof the entire workflow works together.</t>
        </is>
      </c>
    </row>
    <row r="19">
      <c r="A19" s="12" t="n">
        <v>6</v>
      </c>
      <c r="B19" s="12" t="inlineStr">
        <is>
          <t>Deploy Custom MCP + validate Connect Gateway</t>
        </is>
      </c>
      <c r="C19" s="12" t="inlineStr">
        <is>
          <t>In Progress</t>
        </is>
      </c>
      <c r="D19" s="12" t="inlineStr">
        <is>
          <t>Required for production non-GKE/on-prem support.</t>
        </is>
      </c>
    </row>
    <row r="20">
      <c r="A20" s="12" t="n">
        <v>7</v>
      </c>
      <c r="B20" s="12" t="inlineStr">
        <is>
          <t>Build PagerDuty integration</t>
        </is>
      </c>
      <c r="C20" s="12" t="inlineStr">
        <is>
          <t>Not Started</t>
        </is>
      </c>
      <c r="D20" s="12" t="inlineStr">
        <is>
          <t>Required automated production trigger path.</t>
        </is>
      </c>
    </row>
  </sheetData>
  <mergeCells count="2">
    <mergeCell ref="A12:H12"/>
    <mergeCell ref="A1:H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Phase</t>
        </is>
      </c>
      <c r="B1" s="4" t="inlineStr">
        <is>
          <t>Workstream</t>
        </is>
      </c>
      <c r="C1" s="4" t="inlineStr">
        <is>
          <t>Total</t>
        </is>
      </c>
      <c r="D1" s="4" t="inlineStr">
        <is>
          <t>Completed</t>
        </is>
      </c>
      <c r="E1" s="4" t="inlineStr">
        <is>
          <t>In Progress</t>
        </is>
      </c>
      <c r="F1" s="4" t="inlineStr">
        <is>
          <t>Blocked</t>
        </is>
      </c>
      <c r="G1" s="4" t="inlineStr">
        <is>
          <t>Not Started</t>
        </is>
      </c>
      <c r="H1" t="inlineStr">
        <is>
          <t>Waiting on Google Support</t>
        </is>
      </c>
    </row>
    <row r="2">
      <c r="A2" s="12" t="inlineStr">
        <is>
          <t>Phase 0</t>
        </is>
      </c>
      <c r="B2" s="12" t="inlineStr">
        <is>
          <t>Protect Current Working Setup</t>
        </is>
      </c>
      <c r="C2" s="12">
        <f>COUNTIFS('Project Tracker'!B:B,A2,'Project Tracker'!C:C,B2)</f>
        <v/>
      </c>
      <c r="D2" s="12">
        <f>COUNTIFS('Project Tracker'!B:B,A2,'Project Tracker'!C:C,B2,'Project Tracker'!E:E,"Completed")</f>
        <v/>
      </c>
      <c r="E2" s="12">
        <f>COUNTIFS('Project Tracker'!B:B,A2,'Project Tracker'!C:C,B2,'Project Tracker'!E:E,"In Progress")</f>
        <v/>
      </c>
      <c r="F2" s="12">
        <f>COUNTIFS('Project Tracker'!B:B,A2,'Project Tracker'!C:C,B2,'Project Tracker'!E:E,"Blocked")</f>
        <v/>
      </c>
      <c r="G2" s="12">
        <f>COUNTIFS('Project Tracker'!B:B,A2,'Project Tracker'!C:C,B2,'Project Tracker'!E:E,"Not Started")</f>
        <v/>
      </c>
      <c r="H2">
        <f>COUNTIFS('Project Tracker'!B:B,A2,'Project Tracker'!C:C,B2,'Project Tracker'!E:E,"Waiting on Google Support")</f>
        <v/>
      </c>
    </row>
    <row r="3">
      <c r="A3" s="12" t="inlineStr">
        <is>
          <t>Phase 1</t>
        </is>
      </c>
      <c r="B3" s="12" t="inlineStr">
        <is>
          <t>Production Readiness</t>
        </is>
      </c>
      <c r="C3" s="12">
        <f>COUNTIFS('Project Tracker'!B:B,A3,'Project Tracker'!C:C,B3)</f>
        <v/>
      </c>
      <c r="D3" s="12">
        <f>COUNTIFS('Project Tracker'!B:B,A3,'Project Tracker'!C:C,B3,'Project Tracker'!E:E,"Completed")</f>
        <v/>
      </c>
      <c r="E3" s="12">
        <f>COUNTIFS('Project Tracker'!B:B,A3,'Project Tracker'!C:C,B3,'Project Tracker'!E:E,"In Progress")</f>
        <v/>
      </c>
      <c r="F3" s="12">
        <f>COUNTIFS('Project Tracker'!B:B,A3,'Project Tracker'!C:C,B3,'Project Tracker'!E:E,"Blocked")</f>
        <v/>
      </c>
      <c r="G3" s="12">
        <f>COUNTIFS('Project Tracker'!B:B,A3,'Project Tracker'!C:C,B3,'Project Tracker'!E:E,"Not Started")</f>
        <v/>
      </c>
      <c r="H3">
        <f>COUNTIFS('Project Tracker'!B:B,A3,'Project Tracker'!C:C,B3,'Project Tracker'!E:E,"Waiting on Google Support")</f>
        <v/>
      </c>
    </row>
    <row r="4">
      <c r="A4" s="12" t="inlineStr">
        <is>
          <t>Phase 2</t>
        </is>
      </c>
      <c r="B4" s="12" t="inlineStr">
        <is>
          <t>Agent Gateway &amp; Model Armor</t>
        </is>
      </c>
      <c r="C4" s="12">
        <f>COUNTIFS('Project Tracker'!B:B,A4,'Project Tracker'!C:C,B4)</f>
        <v/>
      </c>
      <c r="D4" s="12">
        <f>COUNTIFS('Project Tracker'!B:B,A4,'Project Tracker'!C:C,B4,'Project Tracker'!E:E,"Completed")</f>
        <v/>
      </c>
      <c r="E4" s="12">
        <f>COUNTIFS('Project Tracker'!B:B,A4,'Project Tracker'!C:C,B4,'Project Tracker'!E:E,"In Progress")</f>
        <v/>
      </c>
      <c r="F4" s="12">
        <f>COUNTIFS('Project Tracker'!B:B,A4,'Project Tracker'!C:C,B4,'Project Tracker'!E:E,"Blocked")</f>
        <v/>
      </c>
      <c r="G4" s="12">
        <f>COUNTIFS('Project Tracker'!B:B,A4,'Project Tracker'!C:C,B4,'Project Tracker'!E:E,"Not Started")</f>
        <v/>
      </c>
      <c r="H4">
        <f>COUNTIFS('Project Tracker'!B:B,A4,'Project Tracker'!C:C,B4,'Project Tracker'!E:E,"Waiting on Google Support")</f>
        <v/>
      </c>
    </row>
    <row r="5">
      <c r="A5" s="12" t="inlineStr">
        <is>
          <t>Phase 3</t>
        </is>
      </c>
      <c r="B5" s="12" t="inlineStr">
        <is>
          <t>RCA Output &amp; Evidence</t>
        </is>
      </c>
      <c r="C5" s="12">
        <f>COUNTIFS('Project Tracker'!B:B,A5,'Project Tracker'!C:C,B5)</f>
        <v/>
      </c>
      <c r="D5" s="12">
        <f>COUNTIFS('Project Tracker'!B:B,A5,'Project Tracker'!C:C,B5,'Project Tracker'!E:E,"Completed")</f>
        <v/>
      </c>
      <c r="E5" s="12">
        <f>COUNTIFS('Project Tracker'!B:B,A5,'Project Tracker'!C:C,B5,'Project Tracker'!E:E,"In Progress")</f>
        <v/>
      </c>
      <c r="F5" s="12">
        <f>COUNTIFS('Project Tracker'!B:B,A5,'Project Tracker'!C:C,B5,'Project Tracker'!E:E,"Blocked")</f>
        <v/>
      </c>
      <c r="G5" s="12">
        <f>COUNTIFS('Project Tracker'!B:B,A5,'Project Tracker'!C:C,B5,'Project Tracker'!E:E,"Not Started")</f>
        <v/>
      </c>
      <c r="H5">
        <f>COUNTIFS('Project Tracker'!B:B,A5,'Project Tracker'!C:C,B5,'Project Tracker'!E:E,"Waiting on Google Support")</f>
        <v/>
      </c>
    </row>
    <row r="6">
      <c r="A6" s="12" t="inlineStr">
        <is>
          <t>Phase 4</t>
        </is>
      </c>
      <c r="B6" s="12" t="inlineStr">
        <is>
          <t>Dynamic Investigation &amp; Confidence</t>
        </is>
      </c>
      <c r="C6" s="12">
        <f>COUNTIFS('Project Tracker'!B:B,A6,'Project Tracker'!C:C,B6)</f>
        <v/>
      </c>
      <c r="D6" s="12">
        <f>COUNTIFS('Project Tracker'!B:B,A6,'Project Tracker'!C:C,B6,'Project Tracker'!E:E,"Completed")</f>
        <v/>
      </c>
      <c r="E6" s="12">
        <f>COUNTIFS('Project Tracker'!B:B,A6,'Project Tracker'!C:C,B6,'Project Tracker'!E:E,"In Progress")</f>
        <v/>
      </c>
      <c r="F6" s="12">
        <f>COUNTIFS('Project Tracker'!B:B,A6,'Project Tracker'!C:C,B6,'Project Tracker'!E:E,"Blocked")</f>
        <v/>
      </c>
      <c r="G6" s="12">
        <f>COUNTIFS('Project Tracker'!B:B,A6,'Project Tracker'!C:C,B6,'Project Tracker'!E:E,"Not Started")</f>
        <v/>
      </c>
      <c r="H6">
        <f>COUNTIFS('Project Tracker'!B:B,A6,'Project Tracker'!C:C,B6,'Project Tracker'!E:E,"Waiting on Google Support")</f>
        <v/>
      </c>
    </row>
    <row r="7">
      <c r="A7" s="12" t="inlineStr">
        <is>
          <t>Phase 5</t>
        </is>
      </c>
      <c r="B7" s="12" t="inlineStr">
        <is>
          <t>Testing &amp; Evaluation</t>
        </is>
      </c>
      <c r="C7" s="12">
        <f>COUNTIFS('Project Tracker'!B:B,A7,'Project Tracker'!C:C,B7)</f>
        <v/>
      </c>
      <c r="D7" s="12">
        <f>COUNTIFS('Project Tracker'!B:B,A7,'Project Tracker'!C:C,B7,'Project Tracker'!E:E,"Completed")</f>
        <v/>
      </c>
      <c r="E7" s="12">
        <f>COUNTIFS('Project Tracker'!B:B,A7,'Project Tracker'!C:C,B7,'Project Tracker'!E:E,"In Progress")</f>
        <v/>
      </c>
      <c r="F7" s="12">
        <f>COUNTIFS('Project Tracker'!B:B,A7,'Project Tracker'!C:C,B7,'Project Tracker'!E:E,"Blocked")</f>
        <v/>
      </c>
      <c r="G7" s="12">
        <f>COUNTIFS('Project Tracker'!B:B,A7,'Project Tracker'!C:C,B7,'Project Tracker'!E:E,"Not Started")</f>
        <v/>
      </c>
      <c r="H7">
        <f>COUNTIFS('Project Tracker'!B:B,A7,'Project Tracker'!C:C,B7,'Project Tracker'!E:E,"Waiting on Google Support")</f>
        <v/>
      </c>
    </row>
    <row r="8">
      <c r="A8" s="12" t="inlineStr">
        <is>
          <t>Phase 6</t>
        </is>
      </c>
      <c r="B8" s="12" t="inlineStr">
        <is>
          <t>Observability &amp; Reliability</t>
        </is>
      </c>
      <c r="C8" s="12">
        <f>COUNTIFS('Project Tracker'!B:B,A8,'Project Tracker'!C:C,B8)</f>
        <v/>
      </c>
      <c r="D8" s="12">
        <f>COUNTIFS('Project Tracker'!B:B,A8,'Project Tracker'!C:C,B8,'Project Tracker'!E:E,"Completed")</f>
        <v/>
      </c>
      <c r="E8" s="12">
        <f>COUNTIFS('Project Tracker'!B:B,A8,'Project Tracker'!C:C,B8,'Project Tracker'!E:E,"In Progress")</f>
        <v/>
      </c>
      <c r="F8" s="12">
        <f>COUNTIFS('Project Tracker'!B:B,A8,'Project Tracker'!C:C,B8,'Project Tracker'!E:E,"Blocked")</f>
        <v/>
      </c>
      <c r="G8" s="12">
        <f>COUNTIFS('Project Tracker'!B:B,A8,'Project Tracker'!C:C,B8,'Project Tracker'!E:E,"Not Started")</f>
        <v/>
      </c>
      <c r="H8">
        <f>COUNTIFS('Project Tracker'!B:B,A8,'Project Tracker'!C:C,B8,'Project Tracker'!E:E,"Waiting on Google Support")</f>
        <v/>
      </c>
    </row>
    <row r="9">
      <c r="A9" s="12" t="inlineStr">
        <is>
          <t>Phase 7</t>
        </is>
      </c>
      <c r="B9" s="12" t="inlineStr">
        <is>
          <t>Multi-Cluster Scalability</t>
        </is>
      </c>
      <c r="C9" s="12">
        <f>COUNTIFS('Project Tracker'!B:B,A9,'Project Tracker'!C:C,B9)</f>
        <v/>
      </c>
      <c r="D9" s="12">
        <f>COUNTIFS('Project Tracker'!B:B,A9,'Project Tracker'!C:C,B9,'Project Tracker'!E:E,"Completed")</f>
        <v/>
      </c>
      <c r="E9" s="12">
        <f>COUNTIFS('Project Tracker'!B:B,A9,'Project Tracker'!C:C,B9,'Project Tracker'!E:E,"In Progress")</f>
        <v/>
      </c>
      <c r="F9" s="12">
        <f>COUNTIFS('Project Tracker'!B:B,A9,'Project Tracker'!C:C,B9,'Project Tracker'!E:E,"Blocked")</f>
        <v/>
      </c>
      <c r="G9" s="12">
        <f>COUNTIFS('Project Tracker'!B:B,A9,'Project Tracker'!C:C,B9,'Project Tracker'!E:E,"Not Started")</f>
        <v/>
      </c>
      <c r="H9">
        <f>COUNTIFS('Project Tracker'!B:B,A9,'Project Tracker'!C:C,B9,'Project Tracker'!E:E,"Waiting on Google Support")</f>
        <v/>
      </c>
    </row>
    <row r="10">
      <c r="A10" s="12" t="inlineStr">
        <is>
          <t>Phase 8</t>
        </is>
      </c>
      <c r="B10" s="12" t="inlineStr">
        <is>
          <t>MCP Tool Architecture</t>
        </is>
      </c>
      <c r="C10" s="12">
        <f>COUNTIFS('Project Tracker'!B:B,A10,'Project Tracker'!C:C,B10)</f>
        <v/>
      </c>
      <c r="D10" s="12">
        <f>COUNTIFS('Project Tracker'!B:B,A10,'Project Tracker'!C:C,B10,'Project Tracker'!E:E,"Completed")</f>
        <v/>
      </c>
      <c r="E10" s="12">
        <f>COUNTIFS('Project Tracker'!B:B,A10,'Project Tracker'!C:C,B10,'Project Tracker'!E:E,"In Progress")</f>
        <v/>
      </c>
      <c r="F10" s="12">
        <f>COUNTIFS('Project Tracker'!B:B,A10,'Project Tracker'!C:C,B10,'Project Tracker'!E:E,"Blocked")</f>
        <v/>
      </c>
      <c r="G10" s="12">
        <f>COUNTIFS('Project Tracker'!B:B,A10,'Project Tracker'!C:C,B10,'Project Tracker'!E:E,"Not Started")</f>
        <v/>
      </c>
      <c r="H10">
        <f>COUNTIFS('Project Tracker'!B:B,A10,'Project Tracker'!C:C,B10,'Project Tracker'!E:E,"Waiting on Google Support")</f>
        <v/>
      </c>
    </row>
    <row r="11">
      <c r="A11" s="12" t="inlineStr">
        <is>
          <t>Phase 9</t>
        </is>
      </c>
      <c r="B11" s="12" t="inlineStr">
        <is>
          <t>Cost &amp; Performance</t>
        </is>
      </c>
      <c r="C11" s="12">
        <f>COUNTIFS('Project Tracker'!B:B,A11,'Project Tracker'!C:C,B11)</f>
        <v/>
      </c>
      <c r="D11" s="12">
        <f>COUNTIFS('Project Tracker'!B:B,A11,'Project Tracker'!C:C,B11,'Project Tracker'!E:E,"Completed")</f>
        <v/>
      </c>
      <c r="E11" s="12">
        <f>COUNTIFS('Project Tracker'!B:B,A11,'Project Tracker'!C:C,B11,'Project Tracker'!E:E,"In Progress")</f>
        <v/>
      </c>
      <c r="F11" s="12">
        <f>COUNTIFS('Project Tracker'!B:B,A11,'Project Tracker'!C:C,B11,'Project Tracker'!E:E,"Blocked")</f>
        <v/>
      </c>
      <c r="G11" s="12">
        <f>COUNTIFS('Project Tracker'!B:B,A11,'Project Tracker'!C:C,B11,'Project Tracker'!E:E,"Not Started")</f>
        <v/>
      </c>
      <c r="H11">
        <f>COUNTIFS('Project Tracker'!B:B,A11,'Project Tracker'!C:C,B11,'Project Tracker'!E:E,"Waiting on Google Support")</f>
        <v/>
      </c>
    </row>
    <row r="12">
      <c r="A12" s="12" t="inlineStr">
        <is>
          <t>Phase 10</t>
        </is>
      </c>
      <c r="B12" s="12" t="inlineStr">
        <is>
          <t>PagerDuty Integration</t>
        </is>
      </c>
      <c r="C12" s="12">
        <f>COUNTIFS('Project Tracker'!B:B,A12,'Project Tracker'!C:C,B12)</f>
        <v/>
      </c>
      <c r="D12" s="12">
        <f>COUNTIFS('Project Tracker'!B:B,A12,'Project Tracker'!C:C,B12,'Project Tracker'!E:E,"Completed")</f>
        <v/>
      </c>
      <c r="E12" s="12">
        <f>COUNTIFS('Project Tracker'!B:B,A12,'Project Tracker'!C:C,B12,'Project Tracker'!E:E,"In Progress")</f>
        <v/>
      </c>
      <c r="F12" s="12">
        <f>COUNTIFS('Project Tracker'!B:B,A12,'Project Tracker'!C:C,B12,'Project Tracker'!E:E,"Blocked")</f>
        <v/>
      </c>
      <c r="G12" s="12">
        <f>COUNTIFS('Project Tracker'!B:B,A12,'Project Tracker'!C:C,B12,'Project Tracker'!E:E,"Not Started")</f>
        <v/>
      </c>
      <c r="H12">
        <f>COUNTIFS('Project Tracker'!B:B,A12,'Project Tracker'!C:C,B12,'Project Tracker'!E:E,"Waiting on Google Support")</f>
        <v/>
      </c>
    </row>
    <row r="13">
      <c r="A13" s="12" t="inlineStr">
        <is>
          <t>Phase 11</t>
        </is>
      </c>
      <c r="B13" s="12" t="inlineStr">
        <is>
          <t>Additional MCP Sources</t>
        </is>
      </c>
      <c r="C13" s="12">
        <f>COUNTIFS('Project Tracker'!B:B,A13,'Project Tracker'!C:C,B13)</f>
        <v/>
      </c>
      <c r="D13" s="12">
        <f>COUNTIFS('Project Tracker'!B:B,A13,'Project Tracker'!C:C,B13,'Project Tracker'!E:E,"Completed")</f>
        <v/>
      </c>
      <c r="E13" s="12">
        <f>COUNTIFS('Project Tracker'!B:B,A13,'Project Tracker'!C:C,B13,'Project Tracker'!E:E,"In Progress")</f>
        <v/>
      </c>
      <c r="F13" s="12">
        <f>COUNTIFS('Project Tracker'!B:B,A13,'Project Tracker'!C:C,B13,'Project Tracker'!E:E,"Blocked")</f>
        <v/>
      </c>
      <c r="G13" s="12">
        <f>COUNTIFS('Project Tracker'!B:B,A13,'Project Tracker'!C:C,B13,'Project Tracker'!E:E,"Not Started")</f>
        <v/>
      </c>
      <c r="H13">
        <f>COUNTIFS('Project Tracker'!B:B,A13,'Project Tracker'!C:C,B13,'Project Tracker'!E:E,"Waiting on Google Support")</f>
        <v/>
      </c>
    </row>
    <row r="14">
      <c r="A14" s="12" t="inlineStr">
        <is>
          <t>Phase 12</t>
        </is>
      </c>
      <c r="B14" s="12" t="inlineStr">
        <is>
          <t>On-Premises Kubernetes</t>
        </is>
      </c>
      <c r="C14" s="12">
        <f>COUNTIFS('Project Tracker'!B:B,A14,'Project Tracker'!C:C,B14)</f>
        <v/>
      </c>
      <c r="D14" s="12">
        <f>COUNTIFS('Project Tracker'!B:B,A14,'Project Tracker'!C:C,B14,'Project Tracker'!E:E,"Completed")</f>
        <v/>
      </c>
      <c r="E14" s="12">
        <f>COUNTIFS('Project Tracker'!B:B,A14,'Project Tracker'!C:C,B14,'Project Tracker'!E:E,"In Progress")</f>
        <v/>
      </c>
      <c r="F14" s="12">
        <f>COUNTIFS('Project Tracker'!B:B,A14,'Project Tracker'!C:C,B14,'Project Tracker'!E:E,"Blocked")</f>
        <v/>
      </c>
      <c r="G14" s="12">
        <f>COUNTIFS('Project Tracker'!B:B,A14,'Project Tracker'!C:C,B14,'Project Tracker'!E:E,"Not Started")</f>
        <v/>
      </c>
      <c r="H14">
        <f>COUNTIFS('Project Tracker'!B:B,A14,'Project Tracker'!C:C,B14,'Project Tracker'!E:E,"Waiting on Google Support")</f>
        <v/>
      </c>
    </row>
    <row r="15">
      <c r="A15" s="12" t="inlineStr">
        <is>
          <t>Phase 13</t>
        </is>
      </c>
      <c r="B15" s="12" t="inlineStr">
        <is>
          <t>Security &amp; Supply Chain</t>
        </is>
      </c>
      <c r="C15" s="12">
        <f>COUNTIFS('Project Tracker'!B:B,A15,'Project Tracker'!C:C,B15)</f>
        <v/>
      </c>
      <c r="D15" s="12">
        <f>COUNTIFS('Project Tracker'!B:B,A15,'Project Tracker'!C:C,B15,'Project Tracker'!E:E,"Completed")</f>
        <v/>
      </c>
      <c r="E15" s="12">
        <f>COUNTIFS('Project Tracker'!B:B,A15,'Project Tracker'!C:C,B15,'Project Tracker'!E:E,"In Progress")</f>
        <v/>
      </c>
      <c r="F15" s="12">
        <f>COUNTIFS('Project Tracker'!B:B,A15,'Project Tracker'!C:C,B15,'Project Tracker'!E:E,"Blocked")</f>
        <v/>
      </c>
      <c r="G15" s="12">
        <f>COUNTIFS('Project Tracker'!B:B,A15,'Project Tracker'!C:C,B15,'Project Tracker'!E:E,"Not Started")</f>
        <v/>
      </c>
      <c r="H15">
        <f>COUNTIFS('Project Tracker'!B:B,A15,'Project Tracker'!C:C,B15,'Project Tracker'!E:E,"Waiting on Google Support")</f>
        <v/>
      </c>
    </row>
    <row r="16">
      <c r="A16" s="12" t="inlineStr">
        <is>
          <t>Phase 14</t>
        </is>
      </c>
      <c r="B16" s="12" t="inlineStr">
        <is>
          <t>ADK Migration Assessment</t>
        </is>
      </c>
      <c r="C16" s="12">
        <f>COUNTIFS('Project Tracker'!B:B,A16,'Project Tracker'!C:C,B16)</f>
        <v/>
      </c>
      <c r="D16" s="12">
        <f>COUNTIFS('Project Tracker'!B:B,A16,'Project Tracker'!C:C,B16,'Project Tracker'!E:E,"Completed")</f>
        <v/>
      </c>
      <c r="E16" s="12">
        <f>COUNTIFS('Project Tracker'!B:B,A16,'Project Tracker'!C:C,B16,'Project Tracker'!E:E,"In Progress")</f>
        <v/>
      </c>
      <c r="F16" s="12">
        <f>COUNTIFS('Project Tracker'!B:B,A16,'Project Tracker'!C:C,B16,'Project Tracker'!E:E,"Blocked")</f>
        <v/>
      </c>
      <c r="G16" s="12">
        <f>COUNTIFS('Project Tracker'!B:B,A16,'Project Tracker'!C:C,B16,'Project Tracker'!E:E,"Not Started")</f>
        <v/>
      </c>
      <c r="H16">
        <f>COUNTIFS('Project Tracker'!B:B,A16,'Project Tracker'!C:C,B16,'Project Tracker'!E:E,"Waiting on Google Support")</f>
        <v/>
      </c>
    </row>
    <row r="17">
      <c r="A17" s="12" t="inlineStr">
        <is>
          <t>Final</t>
        </is>
      </c>
      <c r="B17" s="12" t="inlineStr">
        <is>
          <t>Final Production Approval</t>
        </is>
      </c>
      <c r="C17" s="12">
        <f>COUNTIFS('Project Tracker'!B:B,A17,'Project Tracker'!C:C,B17)</f>
        <v/>
      </c>
      <c r="D17" s="12">
        <f>COUNTIFS('Project Tracker'!B:B,A17,'Project Tracker'!C:C,B17,'Project Tracker'!E:E,"Completed")</f>
        <v/>
      </c>
      <c r="E17" s="12">
        <f>COUNTIFS('Project Tracker'!B:B,A17,'Project Tracker'!C:C,B17,'Project Tracker'!E:E,"In Progress")</f>
        <v/>
      </c>
      <c r="F17" s="12">
        <f>COUNTIFS('Project Tracker'!B:B,A17,'Project Tracker'!C:C,B17,'Project Tracker'!E:E,"Blocked")</f>
        <v/>
      </c>
      <c r="G17" s="12">
        <f>COUNTIFS('Project Tracker'!B:B,A17,'Project Tracker'!C:C,B17,'Project Tracker'!E:E,"Not Started")</f>
        <v/>
      </c>
      <c r="H17">
        <f>COUNTIFS('Project Tracker'!B:B,A17,'Project Tracker'!C:C,B17,'Project Tracker'!E:E,"Waiting on Google Support")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Project</t>
        </is>
      </c>
      <c r="B2" t="inlineStr">
        <is>
          <t>GCP AI SRE Agent</t>
        </is>
      </c>
    </row>
    <row r="3">
      <c r="A3" t="inlineStr">
        <is>
          <t>Repository</t>
        </is>
      </c>
      <c r="B3" t="inlineStr">
        <is>
          <t>https://github.com/AshminPy/sre-agent-gateway</t>
        </is>
      </c>
    </row>
    <row r="4">
      <c r="A4" t="inlineStr">
        <is>
          <t>Reviewed</t>
        </is>
      </c>
      <c r="B4" t="inlineStr">
        <is>
          <t>2026-08-11</t>
        </is>
      </c>
    </row>
    <row r="5">
      <c r="A5" t="inlineStr">
        <is>
          <t>Statuses</t>
        </is>
      </c>
      <c r="B5" t="inlineStr">
        <is>
          <t>Completed | In Progress | Not Started | Blocked | Deferred | Waiting on Google Support</t>
        </is>
      </c>
    </row>
    <row r="6">
      <c r="A6" t="inlineStr">
        <is>
          <t>Priorities</t>
        </is>
      </c>
      <c r="B6" t="inlineStr">
        <is>
          <t>Critical | High | Medium | Low</t>
        </is>
      </c>
    </row>
    <row r="7">
      <c r="A7" t="inlineStr">
        <is>
          <t>Purpose</t>
        </is>
      </c>
      <c r="B7" t="inlineStr">
        <is>
          <t>Master project tracker for roadmap and production readiness.</t>
        </is>
      </c>
    </row>
    <row r="8">
      <c r="A8" t="inlineStr">
        <is>
          <t>How to use</t>
        </is>
      </c>
      <c r="B8" t="inlineStr">
        <is>
          <t>Update Status, Owner and Target Date in Project Tracker; summaries update automatically.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K4"/>
  <sheetViews>
    <sheetView workbookViewId="0"/>
  </sheetViews>
  <sheetFormatPr defaultRowHeight="15"/>
  <sheetData>
    <row r="1">
      <c r="A1" t="inlineStr">
        <is>
          <t>External ID</t>
        </is>
      </c>
      <c r="B1" t="inlineStr">
        <is>
          <t>Area</t>
        </is>
      </c>
      <c r="C1" t="inlineStr">
        <is>
          <t>Environment</t>
        </is>
      </c>
      <c r="D1" t="inlineStr">
        <is>
          <t>Description</t>
        </is>
      </c>
      <c r="E1" t="inlineStr">
        <is>
          <t>Impact</t>
        </is>
      </c>
      <c r="F1" t="inlineStr">
        <is>
          <t>Owner</t>
        </is>
      </c>
      <c r="G1" t="inlineStr">
        <is>
          <t>Status</t>
        </is>
      </c>
      <c r="H1" t="inlineStr">
        <is>
          <t>Production Blocker</t>
        </is>
      </c>
      <c r="I1" t="inlineStr">
        <is>
          <t>Required Action</t>
        </is>
      </c>
      <c r="J1" t="inlineStr">
        <is>
          <t>Validation Required</t>
        </is>
      </c>
      <c r="K1" t="inlineStr">
        <is>
          <t>Evidence / Notes</t>
        </is>
      </c>
    </row>
    <row r="2">
      <c r="A2" t="inlineStr">
        <is>
          <t>EXT-001</t>
        </is>
      </c>
      <c r="B2" t="inlineStr">
        <is>
          <t>K8s RBAC</t>
        </is>
      </c>
      <c r="C2" t="inlineStr">
        <is>
          <t>Work cluster: multitenant-us-east4-non-production, ns sre-agent-poc</t>
        </is>
      </c>
      <c r="D2" t="inlineStr">
        <is>
          <t>Agent needs read-only pod-log permission in the work namespace</t>
        </is>
      </c>
      <c r="E2" t="inlineStr">
        <is>
          <t>get_k8s_logs cannot retrieve application logs on this cluster</t>
        </is>
      </c>
      <c r="F2" t="inlineStr">
        <is>
          <t/>
        </is>
      </c>
      <c r="G2" t="inlineStr">
        <is>
          <t>Open</t>
        </is>
      </c>
      <c r="H2" t="inlineStr">
        <is>
          <t>Yes - Critical</t>
        </is>
      </c>
      <c r="I2" t="inlineStr">
        <is>
          <t>Grant least-privilege RBAC per the manual steps already provided (Role+RoleBinding, get/list/watch on pods, pods/log, events)</t>
        </is>
      </c>
      <c r="J2" t="inlineStr">
        <is>
          <t>A real get_k8s_logs call returns requested pod/container logs, not an auth error</t>
        </is>
      </c>
      <c r="K2" t="inlineStr">
        <is>
          <t>Environment onboarding item, not a sre-agent-gateway code bug. Manual remediation steps already provided separately. Not modified from this repo.</t>
        </is>
      </c>
    </row>
    <row r="3">
      <c r="A3" t="inlineStr">
        <is>
          <t>EXT-002</t>
        </is>
      </c>
      <c r="B3" t="inlineStr">
        <is>
          <t>Cluster onboarding</t>
        </is>
      </c>
      <c r="C3" t="inlineStr">
        <is>
          <t>Work environment generally</t>
        </is>
      </c>
      <c r="D3" t="inlineStr">
        <is>
          <t>Need a repeatable minimum-permission model so an engineer doesn't rediscover IAM/RBAC requirements per cluster</t>
        </is>
      </c>
      <c r="E3" t="inlineStr">
        <is>
          <t>Slower, error-prone onboarding of each new work cluster</t>
        </is>
      </c>
      <c r="F3" t="inlineStr">
        <is>
          <t/>
        </is>
      </c>
      <c r="G3" t="inlineStr">
        <is>
          <t>Open</t>
        </is>
      </c>
      <c r="H3" t="inlineStr">
        <is>
          <t>No - process gap, not a hard blocker for Milestone 1</t>
        </is>
      </c>
      <c r="I3" t="inlineStr">
        <is>
          <t>Document the minimum RBAC/IAM template (based on k8s/rbac.yaml's real, applied pattern) as a reusable checklist</t>
        </is>
      </c>
      <c r="J3" t="inlineStr">
        <is>
          <t>A second engineer onboards a cluster using only the documented steps, no rediscovery</t>
        </is>
      </c>
      <c r="K3" t="inlineStr">
        <is>
          <t>Ties to tracker row 72/77 (Cluster onboarding workflow, repeatable onboarding documentation)</t>
        </is>
      </c>
    </row>
    <row r="4">
      <c r="A4" t="inlineStr">
        <is>
          <t>EXT-003</t>
        </is>
      </c>
      <c r="B4" t="inlineStr">
        <is>
          <t>Multi-container evidence</t>
        </is>
      </c>
      <c r="C4" t="inlineStr">
        <is>
          <t>Work cluster (observed during real testing)</t>
        </is>
      </c>
      <c r="D4" t="inlineStr">
        <is>
          <t>Multi-container pods (app + Istio sidecar) affected evidence selection during real testing. Confirmed 2026-08-22: ALL workloads on target GKE Autopilot clusters run an Istio sidecar.</t>
        </is>
      </c>
      <c r="E4" t="inlineStr">
        <is>
          <t>Risk of incorrect RCA attribution when the wrong container's evidence is used</t>
        </is>
      </c>
      <c r="F4" t="inlineStr">
        <is>
          <t/>
        </is>
      </c>
      <c r="G4" t="inlineStr">
        <is>
          <t>Open</t>
        </is>
      </c>
      <c r="H4" t="inlineStr">
        <is>
          <t>Yes - Critical (every workload is affected, not an edge case)</t>
        </is>
      </c>
      <c r="I4" t="inlineStr">
        <is>
          <t>Internal fix tracked as tracker row 158 (Container-aware evidence collection and attribution); this row records the environment observation that made it a confirmed Milestone-1 requirement</t>
        </is>
      </c>
      <c r="J4" t="inlineStr">
        <is>
          <t>A controlled multi-container incident proves the agent selects/attributes evidence to the correct container and produces no false RCA</t>
        </is>
      </c>
      <c r="K4" t="inlineStr">
        <is>
          <t>Confirms tracker row 158's code gap is real in practice, not just in theory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2026-08-12T05:54:09Z</dcterms:created>
  <dcterms:modified xmlns:dcterms="http://purl.org/dc/terms/" xmlns:xsi="http://www.w3.org/2001/XMLSchema-instance" xsi:type="dcterms:W3CDTF">2026-08-17T17:51:49Z</dcterms:modified>
</cp:coreProperties>
</file>